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Kunci Adjudikasi" sheetId="2" state="visible" r:id="rId4"/>
    <sheet name="Reliabilitas" sheetId="3" state="visible" r:id="rId5"/>
    <sheet name="Daftar Kode" sheetId="4" state="visible" r:id="rId6"/>
    <sheet name="Korpus" sheetId="5" state="visible" r:id="rId7"/>
  </sheets>
  <definedNames>
    <definedName function="false" hidden="true" localSheetId="1" name="_xlnm._FilterDatabase" vbProcedure="false">'Kunci Adjudikasi'!$A$4:$AT$89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<sst xmlns="http://schemas.openxmlformats.org/spreadsheetml/2006/main" count="439" uniqueCount="229">
  <si>
    <t xml:space="preserve">File Kunci Adjudikasi: Analisis Isi Krippendorff</t>
  </si>
  <si>
    <t xml:space="preserve">Codebook versi 1.0.2 (20 Oktober 2026). Hanya untuk peneliti utama (adjudikator). Jangan dibagikan kepada coder.</t>
  </si>
  <si>
    <t xml:space="preserve">Alur kerja</t>
  </si>
  <si>
    <t xml:space="preserve">1</t>
  </si>
  <si>
    <t xml:space="preserve">Tempel korpus ke sheet Korpus (A1:F87). Kolom Dokumen, Rujukan, BAB, Bagian, dan Isi pada Kunci Adjudikasi terisi otomatis.</t>
  </si>
  <si>
    <t xml:space="preserve">2</t>
  </si>
  <si>
    <t xml:space="preserve">Setelah coder A dan B selesai, salin nilai V4 sampai V9 dari kolom F sampai K lembar coding masing-masing (baris 2 sampai 86) ke blok Coder A (M sampai R) dan Coder B (S sampai X) mulai baris 5. Tempel sebagai nilai (Paste Values). Urutan baris sama, ID_Unit 2 sampai 86.</t>
  </si>
  <si>
    <t xml:space="preserve">3</t>
  </si>
  <si>
    <t xml:space="preserve">Kolom Y sampai AD menandai Sama atau Beda per variabel. Sheet Reliabilitas menghitung Krippendorff alpha dari data sebelum rekonsiliasi.</t>
  </si>
  <si>
    <t xml:space="preserve">4</t>
  </si>
  <si>
    <t xml:space="preserve">Setelah α dilaporkan, selesaikan setiap perbedaan melalui diskusi, isi Keputusan Adjudikator (AF sampai AK) hanya pada variabel yang berbeda, dan tulis alasannya di AR.</t>
  </si>
  <si>
    <t xml:space="preserve">5</t>
  </si>
  <si>
    <t xml:space="preserve">Kode Final (AL sampai AQ) = keputusan adjudikator bila ada, selain itu kode yang disepakati kedua coder. Kolom AT memeriksa aturan konsistensi (Bagian 9) pada kode final.</t>
  </si>
  <si>
    <t xml:space="preserve">6</t>
  </si>
  <si>
    <t xml:space="preserve">Kode Acuan Peneliti (G sampai L) terisi untuk 11 contoh pada Bagian 12 codebook (baris 2, 15, 22, 28, 30, 32, 49, 62, 67, 83, 86). Isi baris lain bila peneliti ingin menyimpan kunci sendiri; kolom ini tidak dihitung dalam α.</t>
  </si>
  <si>
    <t xml:space="preserve">Catatan metode</t>
  </si>
  <si>
    <t xml:space="preserve">α</t>
  </si>
  <si>
    <t xml:space="preserve">Dihitung langsung dari data pasangan coder yang lengkap: V4, V6, V7, V8, V9 nominal dan V5 ordinal (Bagian 13). Hanya unit yang diisi kedua coder yang dihitung.</t>
  </si>
  <si>
    <t xml:space="preserve">Selang kepercayaan</t>
  </si>
  <si>
    <t xml:space="preserve">Selang kepercayaan bootstrap belum dihitung di Excel. Hitung dengan paket krippendorff (Python) atau kripp.alpha pada paket irr (R) dari data yang sama.</t>
  </si>
  <si>
    <t xml:space="preserve">Kriteria</t>
  </si>
  <si>
    <t xml:space="preserve">α ≥ 0,800 dapat diterima; 0,667 ≤ α &lt; 0,800 hanya untuk kesimpulan tentatif; α &lt; 0,667 revisi variabel dan kodekan ulang.</t>
  </si>
  <si>
    <t xml:space="preserve">Warna</t>
  </si>
  <si>
    <t xml:space="preserve">Kuning: sel input. Biru muda: Coder A. Oranye muda: Coder B. Hijau muda: kunci peneliti dan kode final.</t>
  </si>
  <si>
    <t xml:space="preserve">Kunci Adjudikasi</t>
  </si>
  <si>
    <t xml:space="preserve">Isi V4 sampai V9 coder A dan B (tempel nilai), lalu isi keputusan adjudikator hanya untuk variabel yang berbeda.</t>
  </si>
  <si>
    <t xml:space="preserve">Identitas dan teks (dari Korpus)</t>
  </si>
  <si>
    <t xml:space="preserve">Kode Acuan Peneliti (Bagian 12)</t>
  </si>
  <si>
    <t xml:space="preserve">Coder A</t>
  </si>
  <si>
    <t xml:space="preserve">Coder B</t>
  </si>
  <si>
    <t xml:space="preserve">Sama / Beda</t>
  </si>
  <si>
    <t xml:space="preserve">Beda</t>
  </si>
  <si>
    <t xml:space="preserve">Keputusan Adjudikator</t>
  </si>
  <si>
    <t xml:space="preserve">Kode Final</t>
  </si>
  <si>
    <t xml:space="preserve">Catatan</t>
  </si>
  <si>
    <t xml:space="preserve">Status</t>
  </si>
  <si>
    <t xml:space="preserve">Cek</t>
  </si>
  <si>
    <t xml:space="preserve">V1 ID_Unit</t>
  </si>
  <si>
    <t xml:space="preserve">Dokumen</t>
  </si>
  <si>
    <t xml:space="preserve">Rujukan</t>
  </si>
  <si>
    <t xml:space="preserve">BAB</t>
  </si>
  <si>
    <t xml:space="preserve">Bagian</t>
  </si>
  <si>
    <t xml:space="preserve">Isi</t>
  </si>
  <si>
    <t xml:space="preserve">V4 Acuan</t>
  </si>
  <si>
    <t xml:space="preserve">V5 Acuan</t>
  </si>
  <si>
    <t xml:space="preserve">V6 Acuan</t>
  </si>
  <si>
    <t xml:space="preserve">V7 Acuan</t>
  </si>
  <si>
    <t xml:space="preserve">V8 Acuan</t>
  </si>
  <si>
    <t xml:space="preserve">V9 Acuan</t>
  </si>
  <si>
    <t xml:space="preserve">V4 A</t>
  </si>
  <si>
    <t xml:space="preserve">V5 A</t>
  </si>
  <si>
    <t xml:space="preserve">V6 A</t>
  </si>
  <si>
    <t xml:space="preserve">V7 A</t>
  </si>
  <si>
    <t xml:space="preserve">V8 A</t>
  </si>
  <si>
    <t xml:space="preserve">V9 A</t>
  </si>
  <si>
    <t xml:space="preserve">V4 B</t>
  </si>
  <si>
    <t xml:space="preserve">V5 B</t>
  </si>
  <si>
    <t xml:space="preserve">V6 B</t>
  </si>
  <si>
    <t xml:space="preserve">V7 B</t>
  </si>
  <si>
    <t xml:space="preserve">V8 B</t>
  </si>
  <si>
    <t xml:space="preserve">V9 B</t>
  </si>
  <si>
    <t xml:space="preserve">V4</t>
  </si>
  <si>
    <t xml:space="preserve">V5</t>
  </si>
  <si>
    <t xml:space="preserve">V6</t>
  </si>
  <si>
    <t xml:space="preserve">V7</t>
  </si>
  <si>
    <t xml:space="preserve">V8</t>
  </si>
  <si>
    <t xml:space="preserve">V9</t>
  </si>
  <si>
    <t xml:space="preserve">Jumlah Beda</t>
  </si>
  <si>
    <t xml:space="preserve">V4 Keputusan</t>
  </si>
  <si>
    <t xml:space="preserve">V5 Keputusan</t>
  </si>
  <si>
    <t xml:space="preserve">V6 Keputusan</t>
  </si>
  <si>
    <t xml:space="preserve">V7 Keputusan</t>
  </si>
  <si>
    <t xml:space="preserve">V8 Keputusan</t>
  </si>
  <si>
    <t xml:space="preserve">V9 Keputusan</t>
  </si>
  <si>
    <t xml:space="preserve">V4 Final</t>
  </si>
  <si>
    <t xml:space="preserve">V5 Final</t>
  </si>
  <si>
    <t xml:space="preserve">V6 Final</t>
  </si>
  <si>
    <t xml:space="preserve">V7 Final</t>
  </si>
  <si>
    <t xml:space="preserve">V8 Final</t>
  </si>
  <si>
    <t xml:space="preserve">V9 Final</t>
  </si>
  <si>
    <t xml:space="preserve">Alasan Adjudikasi</t>
  </si>
  <si>
    <t xml:space="preserve">Cek Konsistensi Final</t>
  </si>
  <si>
    <t xml:space="preserve">S9</t>
  </si>
  <si>
    <t xml:space="preserve">R1</t>
  </si>
  <si>
    <t xml:space="preserve">T16</t>
  </si>
  <si>
    <t xml:space="preserve">P8</t>
  </si>
  <si>
    <t xml:space="preserve">F8</t>
  </si>
  <si>
    <t xml:space="preserve">K5</t>
  </si>
  <si>
    <t xml:space="preserve">R0</t>
  </si>
  <si>
    <t xml:space="preserve">T17</t>
  </si>
  <si>
    <t xml:space="preserve">P9</t>
  </si>
  <si>
    <t xml:space="preserve">S8</t>
  </si>
  <si>
    <t xml:space="preserve">T10</t>
  </si>
  <si>
    <t xml:space="preserve">P2</t>
  </si>
  <si>
    <t xml:space="preserve">K1</t>
  </si>
  <si>
    <t xml:space="preserve">T01</t>
  </si>
  <si>
    <t xml:space="preserve">P6</t>
  </si>
  <si>
    <t xml:space="preserve">K4</t>
  </si>
  <si>
    <t xml:space="preserve">T02</t>
  </si>
  <si>
    <t xml:space="preserve">P7</t>
  </si>
  <si>
    <t xml:space="preserve">S4</t>
  </si>
  <si>
    <t xml:space="preserve">R2</t>
  </si>
  <si>
    <t xml:space="preserve">T04</t>
  </si>
  <si>
    <t xml:space="preserve">P3</t>
  </si>
  <si>
    <t xml:space="preserve">F7</t>
  </si>
  <si>
    <t xml:space="preserve">K3</t>
  </si>
  <si>
    <t xml:space="preserve">T05</t>
  </si>
  <si>
    <t xml:space="preserve">F1</t>
  </si>
  <si>
    <t xml:space="preserve">S1</t>
  </si>
  <si>
    <t xml:space="preserve">F4</t>
  </si>
  <si>
    <t xml:space="preserve">T11</t>
  </si>
  <si>
    <t xml:space="preserve">F6</t>
  </si>
  <si>
    <t xml:space="preserve">S5</t>
  </si>
  <si>
    <t xml:space="preserve">T14</t>
  </si>
  <si>
    <t xml:space="preserve">P1</t>
  </si>
  <si>
    <t xml:space="preserve">F2</t>
  </si>
  <si>
    <t xml:space="preserve">S6</t>
  </si>
  <si>
    <t xml:space="preserve">T15</t>
  </si>
  <si>
    <t xml:space="preserve">P5</t>
  </si>
  <si>
    <t xml:space="preserve">Reliabilitas: Krippendorff alpha (sebelum rekonsiliasi)</t>
  </si>
  <si>
    <t xml:space="preserve">Dihitung dari blok Coder A dan Coder B pada sheet Kunci Adjudikasi. Hanya unit yang diisi kedua coder yang dihitung.</t>
  </si>
  <si>
    <t xml:space="preserve">Variabel</t>
  </si>
  <si>
    <t xml:space="preserve">Tipe</t>
  </si>
  <si>
    <t xml:space="preserve">Unit berpasangan (N)</t>
  </si>
  <si>
    <t xml:space="preserve">Unit berbeda</t>
  </si>
  <si>
    <t xml:space="preserve">Nilai total (n = 2N)</t>
  </si>
  <si>
    <t xml:space="preserve">Interpretasi (Bagian 13)</t>
  </si>
  <si>
    <t xml:space="preserve">V4 Subjek_Norma</t>
  </si>
  <si>
    <t xml:space="preserve">Nominal</t>
  </si>
  <si>
    <t xml:space="preserve">V5 Relevansi</t>
  </si>
  <si>
    <t xml:space="preserve">Ordinal</t>
  </si>
  <si>
    <t xml:space="preserve">V6 Tema_Utama</t>
  </si>
  <si>
    <t xml:space="preserve">V7 Jenis_Pernyataan</t>
  </si>
  <si>
    <t xml:space="preserve">V8 Tahap_Scraping</t>
  </si>
  <si>
    <t xml:space="preserve">V9 Kebutuhan_SRS</t>
  </si>
  <si>
    <t xml:space="preserve">Catatan: α dihitung ulang otomatis setiap data coder ditempel. Jika semua nilai satu variabel identik di kedua coder dan hanya satu kategori terpakai, α tidak terdefinisi (n/a).</t>
  </si>
  <si>
    <t xml:space="preserve">Rincian V4 Subjek_Norma</t>
  </si>
  <si>
    <t xml:space="preserve">Kategori</t>
  </si>
  <si>
    <t xml:space="preserve">n kode (kedua coder)</t>
  </si>
  <si>
    <t xml:space="preserve">n²</t>
  </si>
  <si>
    <t xml:space="preserve">S2</t>
  </si>
  <si>
    <t xml:space="preserve">S3</t>
  </si>
  <si>
    <t xml:space="preserve">S7</t>
  </si>
  <si>
    <t xml:space="preserve">Rincian V5 Relevansi</t>
  </si>
  <si>
    <t xml:space="preserve">Nilai kumulatif</t>
  </si>
  <si>
    <t xml:space="preserve">Pasangan</t>
  </si>
  <si>
    <t xml:space="preserve">Unit berbeda (D)</t>
  </si>
  <si>
    <t xml:space="preserve">δ²</t>
  </si>
  <si>
    <t xml:space="preserve">n_c·n_k·δ²</t>
  </si>
  <si>
    <t xml:space="preserve">R0-R1</t>
  </si>
  <si>
    <t xml:space="preserve">R1-R2</t>
  </si>
  <si>
    <t xml:space="preserve">R0-R2</t>
  </si>
  <si>
    <t xml:space="preserve">Rincian V6 Tema_Utama</t>
  </si>
  <si>
    <t xml:space="preserve">T03</t>
  </si>
  <si>
    <t xml:space="preserve">T06</t>
  </si>
  <si>
    <t xml:space="preserve">T07</t>
  </si>
  <si>
    <t xml:space="preserve">T08</t>
  </si>
  <si>
    <t xml:space="preserve">T09</t>
  </si>
  <si>
    <t xml:space="preserve">T12</t>
  </si>
  <si>
    <t xml:space="preserve">T13</t>
  </si>
  <si>
    <t xml:space="preserve">T99</t>
  </si>
  <si>
    <t xml:space="preserve">Rincian V7 Jenis_Pernyataan</t>
  </si>
  <si>
    <t xml:space="preserve">P4</t>
  </si>
  <si>
    <t xml:space="preserve">Rincian V8 Tahap_Scraping</t>
  </si>
  <si>
    <t xml:space="preserve">F3</t>
  </si>
  <si>
    <t xml:space="preserve">F5</t>
  </si>
  <si>
    <t xml:space="preserve">Rincian V9 Kebutuhan_SRS</t>
  </si>
  <si>
    <t xml:space="preserve">K2</t>
  </si>
  <si>
    <t xml:space="preserve">Daftar kode sah (Codebook versi 1.0.2)</t>
  </si>
  <si>
    <t xml:space="preserve">Sumber: Bagian 6 sampai 7 codebook. Sheet ini dipakai oleh daftar pilihan (validasi data) pada lembar coding.</t>
  </si>
  <si>
    <t xml:space="preserve">Kode</t>
  </si>
  <si>
    <t xml:space="preserve">Label</t>
  </si>
  <si>
    <t xml:space="preserve">Pengendali Data Pribadi</t>
  </si>
  <si>
    <t xml:space="preserve">Prosesor Data Pribadi</t>
  </si>
  <si>
    <t xml:space="preserve">Pengendali dan Prosesor</t>
  </si>
  <si>
    <t xml:space="preserve">Subjek Data Pribadi</t>
  </si>
  <si>
    <t xml:space="preserve">Setiap Orang atau pihak umum</t>
  </si>
  <si>
    <t xml:space="preserve">Instansi atau Badan Publik</t>
  </si>
  <si>
    <t xml:space="preserve">Lembaga atau Pemerintah (otoritas)</t>
  </si>
  <si>
    <t xml:space="preserve">Penyelenggara sektor atau pihak lain</t>
  </si>
  <si>
    <t xml:space="preserve">Tidak ada subjek eksplisit</t>
  </si>
  <si>
    <t xml:space="preserve">Tidak relevan</t>
  </si>
  <si>
    <t xml:space="preserve">Relevan tidak langsung</t>
  </si>
  <si>
    <t xml:space="preserve">Relevan langsung</t>
  </si>
  <si>
    <t xml:space="preserve">Definisi, Istilah, dan Ruang Lingkup</t>
  </si>
  <si>
    <t xml:space="preserve">Asas dan Prinsip Pemrosesan</t>
  </si>
  <si>
    <t xml:space="preserve">Jenis dan Klasifikasi Data Pribadi</t>
  </si>
  <si>
    <t xml:space="preserve">Hak Subjek Data Pribadi</t>
  </si>
  <si>
    <t xml:space="preserve">Dasar Pemrosesan dan Persetujuan</t>
  </si>
  <si>
    <t xml:space="preserve">Aktivitas Pemrosesan dan Pengumpulan</t>
  </si>
  <si>
    <t xml:space="preserve">Data Pribadi Anak dan Kelompok Rentan</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</si>
  <si>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</si>
  <si>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</si>
  <si>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</si>
  <si>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</si>
  <si>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Pengecualian dan Pembatasan</t>
  </si>
  <si>
    <t xml:space="preserve">Transfer dan Pengalihan Data</t>
  </si>
  <si>
    <t xml:space="preserve">Larangan dan Perbuatan Melawan Hukum</t>
  </si>
  <si>
    <t xml:space="preserve">Akses dan Pemanfaatan Data Pemerintah</t>
  </si>
  <si>
    <t xml:space="preserve">Urgensi, Konsep, dan Landasan Pelindungan Data</t>
  </si>
  <si>
    <t xml:space="preserve">Rujukan Regulasi Lain</t>
  </si>
  <si>
    <t xml:space="preserve">Lainnya (wajib jelaskan di V12)</t>
  </si>
  <si>
    <t xml:space="preserve">Larangan</t>
  </si>
  <si>
    <t xml:space="preserve">Kewajiban</t>
  </si>
  <si>
    <t xml:space="preserve">Hak</t>
  </si>
  <si>
    <t xml:space="preserve">Pengecualian atau pembatasan</t>
  </si>
  <si>
    <t xml:space="preserve">Kebolehan atau kewenangan</t>
  </si>
  <si>
    <t xml:space="preserve">Definisi, klasifikasi, atau ruang lingkup</t>
  </si>
  <si>
    <t xml:space="preserve">Asas, prinsip, atau tujuan umum</t>
  </si>
  <si>
    <t xml:space="preserve">Deskriptif, argumentatif, atau rekomendasi</t>
  </si>
  <si>
    <t xml:space="preserve">Rujukan atau daftar</t>
  </si>
  <si>
    <t xml:space="preserve">Perencanaan dan dasar pemrosesan</t>
  </si>
  <si>
    <t xml:space="preserve">Pengumpulan atau akuisisi</t>
  </si>
  <si>
    <t xml:space="preserve">Pengolahan dan analisis</t>
  </si>
  <si>
    <t xml:space="preserve">Penyimpanan dan pengamanan</t>
  </si>
  <si>
    <t xml:space="preserve">Penyebarluasan dan transfer</t>
  </si>
  <si>
    <t xml:space="preserve">Retensi dan penghapusan</t>
  </si>
  <si>
    <t xml:space="preserve">Tata kelola dan hak subjek</t>
  </si>
  <si>
    <t xml:space="preserve">Lintas tahap atau tidak spesifik</t>
  </si>
  <si>
    <t xml:space="preserve">Non-fungsional: keamanan dan kerahasiaan</t>
  </si>
  <si>
    <t xml:space="preserve">Non-fungsional: mutu data, kepatuhan, dan akuntabilitas</t>
  </si>
  <si>
    <t xml:space="preserve">Fungsional</t>
  </si>
  <si>
    <t xml:space="preserve">Batasan atau aturan bisnis hukum</t>
  </si>
  <si>
    <t xml:space="preserve">Tidak menghasilkan kebutuhan</t>
  </si>
  <si>
    <t xml:space="preserve">Paragraf</t>
  </si>
  <si>
    <t xml:space="preserve">Pasal</t>
  </si>
  <si>
    <t xml:space="preserve">CATATAN</t>
  </si>
  <si>
    <t xml:space="preserve">Tempel seluruh isi sheet Lembar1 dari For_Codebook_1.xlsx (A1:F87) ke sel A1 sheet ini, termasuk baris judul.</t>
  </si>
  <si>
    <t xml:space="preserve">Urutan kolom: Dokumen, BAB, Bagian, Paragraf, Pasal, Isi. File ini TIDAK dibagikan kepada coder (Bagian 15 codebook).</t>
  </si>
</sst>
</file>

<file path=xl/styles.xml><?xml version="1.0" encoding="utf-8"?>
<styleSheet xmlns="http://schemas.openxmlformats.org/spreadsheetml/2006/main">
  <numFmts count="2">
    <numFmt numFmtId="164" formatCode="General"/>
    <numFmt numFmtId="165" formatCode="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F5496"/>
        <bgColor rgb="FF1F3864"/>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0000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FFF2CC"/>
          <bgColor rgb="FF000000"/>
        </patternFill>
      </fill>
    </dxf>
    <dxf>
      <font>
        <name val="Arial"/>
        <charset val="1"/>
        <family val="0"/>
        <color rgb="FF9C0006"/>
      </font>
      <fill>
        <patternFill>
          <bgColor rgb="FFFFC7CE"/>
        </patternFill>
      </fill>
    </dxf>
    <dxf>
      <fill>
        <patternFill>
          <bgColor rgb="FFFFC7CE"/>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c r="C4" s="4"/>
    </row>
    <row r="5" customFormat="false" ht="15" hidden="false" customHeight="false" outlineLevel="0" collapsed="false">
      <c r="B5" s="5" t="s">
        <v>3</v>
      </c>
      <c r="C5" s="6" t="s">
        <v>4</v>
      </c>
    </row>
    <row r="6" customFormat="false" ht="23.85" hidden="false" customHeight="false" outlineLevel="0" collapsed="false">
      <c r="B6" s="5" t="s">
        <v>5</v>
      </c>
      <c r="C6" s="6" t="s">
        <v>6</v>
      </c>
    </row>
    <row r="7" customFormat="false" ht="15" hidden="false" customHeight="false" outlineLevel="0" collapsed="false">
      <c r="B7" s="5" t="s">
        <v>7</v>
      </c>
      <c r="C7" s="6" t="s">
        <v>8</v>
      </c>
    </row>
    <row r="8" customFormat="false" ht="23.85" hidden="false" customHeight="false" outlineLevel="0" collapsed="false">
      <c r="B8" s="5" t="s">
        <v>9</v>
      </c>
      <c r="C8" s="6" t="s">
        <v>10</v>
      </c>
    </row>
    <row r="9" customFormat="false" ht="23.85" hidden="false" customHeight="false" outlineLevel="0" collapsed="false">
      <c r="B9" s="5" t="s">
        <v>11</v>
      </c>
      <c r="C9" s="6" t="s">
        <v>12</v>
      </c>
    </row>
    <row r="10" customFormat="false" ht="23.85" hidden="false" customHeight="false" outlineLevel="0" collapsed="false">
      <c r="B10" s="5" t="s">
        <v>13</v>
      </c>
      <c r="C10" s="6" t="s">
        <v>14</v>
      </c>
    </row>
    <row r="11" customFormat="false" ht="15" hidden="false" customHeight="false" outlineLevel="0" collapsed="false">
      <c r="B11" s="3" t="s">
        <v>15</v>
      </c>
      <c r="C11" s="4"/>
    </row>
    <row r="12" customFormat="false" ht="23.85" hidden="false" customHeight="false" outlineLevel="0" collapsed="false">
      <c r="B12" s="5" t="s">
        <v>16</v>
      </c>
      <c r="C12" s="6" t="s">
        <v>17</v>
      </c>
    </row>
    <row r="13" customFormat="false" ht="23.85" hidden="false" customHeight="false" outlineLevel="0" collapsed="false">
      <c r="B13" s="5" t="s">
        <v>18</v>
      </c>
      <c r="C13" s="6" t="s">
        <v>19</v>
      </c>
    </row>
    <row r="14" customFormat="false" ht="15" hidden="false" customHeight="false" outlineLevel="0" collapsed="false">
      <c r="B14" s="5" t="s">
        <v>20</v>
      </c>
      <c r="C14" s="6" t="s">
        <v>21</v>
      </c>
    </row>
    <row r="15" customFormat="false" ht="15" hidden="false" customHeight="false" outlineLevel="0" collapsed="false">
      <c r="B15" s="5" t="s">
        <v>22</v>
      </c>
      <c r="C15" s="6"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0"/>
    <col collapsed="false" customWidth="true" hidden="false" outlineLevel="0" max="5" min="4" style="0" width="16"/>
    <col collapsed="false" customWidth="true" hidden="false" outlineLevel="0" max="6" min="6" style="0" width="70"/>
    <col collapsed="false" customWidth="true" hidden="false" outlineLevel="0" max="43" min="7" style="0" width="10"/>
    <col collapsed="false" customWidth="true" hidden="false" outlineLevel="0" max="44" min="44" style="0" width="40"/>
    <col collapsed="false" customWidth="true" hidden="false" outlineLevel="0" max="45" min="45" style="0" width="18"/>
    <col collapsed="false" customWidth="true" hidden="false" outlineLevel="0" max="46" min="46" style="0" width="46"/>
  </cols>
  <sheetData>
    <row r="1" customFormat="false" ht="17.35" hidden="false" customHeight="false" outlineLevel="0" collapsed="false">
      <c r="A1" s="1" t="s">
        <v>24</v>
      </c>
    </row>
    <row r="2" customFormat="false" ht="15" hidden="false" customHeight="false" outlineLevel="0" collapsed="false">
      <c r="A2" s="2" t="s">
        <v>25</v>
      </c>
    </row>
    <row r="3" customFormat="false" ht="15" hidden="false" customHeight="true" outlineLevel="0" collapsed="false">
      <c r="A3" s="7" t="s">
        <v>26</v>
      </c>
      <c r="B3" s="7"/>
      <c r="C3" s="7"/>
      <c r="D3" s="7"/>
      <c r="E3" s="7"/>
      <c r="F3" s="7"/>
      <c r="G3" s="8" t="s">
        <v>27</v>
      </c>
      <c r="H3" s="8"/>
      <c r="I3" s="8"/>
      <c r="J3" s="8"/>
      <c r="K3" s="8"/>
      <c r="L3" s="8"/>
      <c r="M3" s="8" t="s">
        <v>28</v>
      </c>
      <c r="N3" s="8"/>
      <c r="O3" s="8"/>
      <c r="P3" s="8"/>
      <c r="Q3" s="8"/>
      <c r="R3" s="8"/>
      <c r="S3" s="8" t="s">
        <v>29</v>
      </c>
      <c r="T3" s="8"/>
      <c r="U3" s="8"/>
      <c r="V3" s="8"/>
      <c r="W3" s="8"/>
      <c r="X3" s="8"/>
      <c r="Y3" s="7" t="s">
        <v>30</v>
      </c>
      <c r="Z3" s="7"/>
      <c r="AA3" s="7"/>
      <c r="AB3" s="7"/>
      <c r="AC3" s="7"/>
      <c r="AD3" s="7"/>
      <c r="AE3" s="7" t="s">
        <v>31</v>
      </c>
      <c r="AF3" s="8" t="s">
        <v>32</v>
      </c>
      <c r="AG3" s="8"/>
      <c r="AH3" s="8"/>
      <c r="AI3" s="8"/>
      <c r="AJ3" s="8"/>
      <c r="AK3" s="8"/>
      <c r="AL3" s="8" t="s">
        <v>33</v>
      </c>
      <c r="AM3" s="8"/>
      <c r="AN3" s="8"/>
      <c r="AO3" s="8"/>
      <c r="AP3" s="8"/>
      <c r="AQ3" s="8"/>
      <c r="AR3" s="7" t="s">
        <v>34</v>
      </c>
      <c r="AS3" s="7" t="s">
        <v>35</v>
      </c>
      <c r="AT3" s="7" t="s">
        <v>36</v>
      </c>
    </row>
    <row r="4" customFormat="false" ht="31.5" hidden="false" customHeight="true" outlineLevel="0" collapsed="false">
      <c r="A4" s="7" t="s">
        <v>37</v>
      </c>
      <c r="B4" s="7" t="s">
        <v>38</v>
      </c>
      <c r="C4" s="7" t="s">
        <v>39</v>
      </c>
      <c r="D4" s="7" t="s">
        <v>40</v>
      </c>
      <c r="E4" s="7" t="s">
        <v>41</v>
      </c>
      <c r="F4" s="7" t="s">
        <v>42</v>
      </c>
      <c r="G4" s="7" t="s">
        <v>43</v>
      </c>
      <c r="H4" s="7" t="s">
        <v>44</v>
      </c>
      <c r="I4" s="7" t="s">
        <v>45</v>
      </c>
      <c r="J4" s="7" t="s">
        <v>46</v>
      </c>
      <c r="K4" s="7" t="s">
        <v>47</v>
      </c>
      <c r="L4" s="7" t="s">
        <v>48</v>
      </c>
      <c r="M4" s="7" t="s">
        <v>49</v>
      </c>
      <c r="N4" s="7" t="s">
        <v>50</v>
      </c>
      <c r="O4" s="7" t="s">
        <v>51</v>
      </c>
      <c r="P4" s="7" t="s">
        <v>52</v>
      </c>
      <c r="Q4" s="7" t="s">
        <v>53</v>
      </c>
      <c r="R4" s="7" t="s">
        <v>54</v>
      </c>
      <c r="S4" s="7" t="s">
        <v>55</v>
      </c>
      <c r="T4" s="7" t="s">
        <v>56</v>
      </c>
      <c r="U4" s="7" t="s">
        <v>57</v>
      </c>
      <c r="V4" s="7" t="s">
        <v>58</v>
      </c>
      <c r="W4" s="7" t="s">
        <v>59</v>
      </c>
      <c r="X4" s="7" t="s">
        <v>60</v>
      </c>
      <c r="Y4" s="7" t="s">
        <v>61</v>
      </c>
      <c r="Z4" s="7" t="s">
        <v>62</v>
      </c>
      <c r="AA4" s="7" t="s">
        <v>63</v>
      </c>
      <c r="AB4" s="7" t="s">
        <v>64</v>
      </c>
      <c r="AC4" s="7" t="s">
        <v>65</v>
      </c>
      <c r="AD4" s="7" t="s">
        <v>66</v>
      </c>
      <c r="AE4" s="7" t="s">
        <v>67</v>
      </c>
      <c r="AF4" s="7" t="s">
        <v>68</v>
      </c>
      <c r="AG4" s="7" t="s">
        <v>69</v>
      </c>
      <c r="AH4" s="7" t="s">
        <v>70</v>
      </c>
      <c r="AI4" s="7" t="s">
        <v>71</v>
      </c>
      <c r="AJ4" s="7" t="s">
        <v>72</v>
      </c>
      <c r="AK4" s="7" t="s">
        <v>73</v>
      </c>
      <c r="AL4" s="7" t="s">
        <v>74</v>
      </c>
      <c r="AM4" s="7" t="s">
        <v>75</v>
      </c>
      <c r="AN4" s="7" t="s">
        <v>76</v>
      </c>
      <c r="AO4" s="7" t="s">
        <v>77</v>
      </c>
      <c r="AP4" s="7" t="s">
        <v>78</v>
      </c>
      <c r="AQ4" s="7" t="s">
        <v>79</v>
      </c>
      <c r="AR4" s="7" t="s">
        <v>80</v>
      </c>
      <c r="AS4" s="7" t="s">
        <v>35</v>
      </c>
      <c r="AT4" s="7" t="s">
        <v>81</v>
      </c>
    </row>
    <row r="5" customFormat="false" ht="48" hidden="false" customHeight="true" outlineLevel="0" collapsed="false">
      <c r="A5" s="9" t="n">
        <v>2</v>
      </c>
      <c r="B5" s="10" t="str">
        <f aca="false">IF(INDEX(Korpus!$A:$A,$A5)="","",INDEX(Korpus!$A:$A,$A5))</f>
        <v/>
      </c>
      <c r="C5" s="10" t="str">
        <f aca="false">TRIM(INDEX(Korpus!$D:$D,$A5)&amp;" "&amp;INDEX(Korpus!$E:$E,$A5))</f>
        <v/>
      </c>
      <c r="D5" s="10" t="str">
        <f aca="false">IF(INDEX(Korpus!$B:$B,$A5)="","",INDEX(Korpus!$B:$B,$A5))</f>
        <v/>
      </c>
      <c r="E5" s="10" t="str">
        <f aca="false">IF(INDEX(Korpus!$C:$C,$A5)="","",INDEX(Korpus!$C:$C,$A5))</f>
        <v/>
      </c>
      <c r="F5" s="10" t="str">
        <f aca="false">IF(INDEX(Korpus!$F:$F,$A5)="","",INDEX(Korpus!$F:$F,$A5))</f>
        <v/>
      </c>
      <c r="G5" s="11" t="s">
        <v>82</v>
      </c>
      <c r="H5" s="11" t="s">
        <v>83</v>
      </c>
      <c r="I5" s="11" t="s">
        <v>84</v>
      </c>
      <c r="J5" s="11" t="s">
        <v>85</v>
      </c>
      <c r="K5" s="11" t="s">
        <v>86</v>
      </c>
      <c r="L5" s="11" t="s">
        <v>87</v>
      </c>
      <c r="M5" s="12"/>
      <c r="N5" s="12"/>
      <c r="O5" s="12"/>
      <c r="P5" s="12"/>
      <c r="Q5" s="12"/>
      <c r="R5" s="12"/>
      <c r="S5" s="13"/>
      <c r="T5" s="13"/>
      <c r="U5" s="13"/>
      <c r="V5" s="13"/>
      <c r="W5" s="13"/>
      <c r="X5" s="13"/>
      <c r="Y5" s="9" t="str">
        <f aca="false">IF(OR(M5="",S5=""),"",IF(M5=S5,"Sama","Beda"))</f>
        <v/>
      </c>
      <c r="Z5" s="9" t="str">
        <f aca="false">IF(OR(N5="",T5=""),"",IF(N5=T5,"Sama","Beda"))</f>
        <v/>
      </c>
      <c r="AA5" s="9" t="str">
        <f aca="false">IF(OR(O5="",U5=""),"",IF(O5=U5,"Sama","Beda"))</f>
        <v/>
      </c>
      <c r="AB5" s="9" t="str">
        <f aca="false">IF(OR(P5="",V5=""),"",IF(P5=V5,"Sama","Beda"))</f>
        <v/>
      </c>
      <c r="AC5" s="9" t="str">
        <f aca="false">IF(OR(Q5="",W5=""),"",IF(Q5=W5,"Sama","Beda"))</f>
        <v/>
      </c>
      <c r="AD5" s="9" t="str">
        <f aca="false">IF(OR(R5="",X5=""),"",IF(R5=X5,"Sama","Beda"))</f>
        <v/>
      </c>
      <c r="AE5" s="9" t="n">
        <f aca="false">COUNTIF(Y5:AD5,"Beda")</f>
        <v>0</v>
      </c>
      <c r="AF5" s="14"/>
      <c r="AG5" s="14"/>
      <c r="AH5" s="14"/>
      <c r="AI5" s="14"/>
      <c r="AJ5" s="14"/>
      <c r="AK5" s="14"/>
      <c r="AL5" s="15" t="str">
        <f aca="false">IF(AF5&lt;&gt;"",AF5,IF(AND(M5&lt;&gt;"",M5=S5),M5,""))</f>
        <v/>
      </c>
      <c r="AM5" s="15" t="str">
        <f aca="false">IF(AG5&lt;&gt;"",AG5,IF(AND(N5&lt;&gt;"",N5=T5),N5,""))</f>
        <v/>
      </c>
      <c r="AN5" s="15" t="str">
        <f aca="false">IF(AH5&lt;&gt;"",AH5,IF(AND(O5&lt;&gt;"",O5=U5),O5,""))</f>
        <v/>
      </c>
      <c r="AO5" s="15" t="str">
        <f aca="false">IF(AI5&lt;&gt;"",AI5,IF(AND(P5&lt;&gt;"",P5=V5),P5,""))</f>
        <v/>
      </c>
      <c r="AP5" s="15" t="str">
        <f aca="false">IF(AJ5&lt;&gt;"",AJ5,IF(AND(Q5&lt;&gt;"",Q5=W5),Q5,""))</f>
        <v/>
      </c>
      <c r="AQ5" s="15" t="str">
        <f aca="false">IF(AK5&lt;&gt;"",AK5,IF(AND(R5&lt;&gt;"",R5=X5),R5,""))</f>
        <v/>
      </c>
      <c r="AR5" s="16"/>
      <c r="AS5" s="9" t="str">
        <f aca="false">IF(COUNTA(M5:R5)+COUNTA(S5:X5)&lt;12,"Menunggu coder",IF(AE5=0,"Sepakat",IF(SUMPRODUCT((Y5:AD5="Beda")*(AF5:AK5=""))=0,"Selesai adjudikasi","Perlu adjudikasi")))</f>
        <v>Menunggu coder</v>
      </c>
      <c r="AT5" s="10" t="str">
        <f aca="false">IF(COUNTIF(AL5:AQ5,"?*")&lt;6,"",IF(IF(AND(AM5="R0",AQ5&lt;&gt;"K5"),"R0 harus K5; ","")&amp;IF(AND(AM5="R1",AQ5="K3"),"R1 tidak boleh K3 (fungsional); ","")&amp;IF(AND(AM5="R2",AQ5="K5"),"R2 tidak boleh K5; ","")&amp;IF(AND(AM5="R2",OR(AL5="S6",AL5="S7",AL5="S8")),"R2 tidak boleh S6/S7/S8; ","")&amp;IF(AND(AO5="P9",AN5&lt;&gt;"T17"),"P9 hanya dengan T17; ","")&amp;IF(AND(OR(AN5="T17",AO5="P9"),AM5&lt;&gt;"R0"),"T17/P9 harus R0; ","")&amp;IF(AND(AN5="T01",AO5&lt;&gt;"P6"),"T01 biasanya P6 (periksa); ","")&amp;IF(AND(AO5="P1",AQ5&lt;&gt;"K4"),"P1 biasanya K4 (periksa); ","")="","OK",IF(AND(AM5="R0",AQ5&lt;&gt;"K5"),"R0 harus K5; ","")&amp;IF(AND(AM5="R1",AQ5="K3"),"R1 tidak boleh K3 (fungsional); ","")&amp;IF(AND(AM5="R2",AQ5="K5"),"R2 tidak boleh K5; ","")&amp;IF(AND(AM5="R2",OR(AL5="S6",AL5="S7",AL5="S8")),"R2 tidak boleh S6/S7/S8; ","")&amp;IF(AND(AO5="P9",AN5&lt;&gt;"T17"),"P9 hanya dengan T17; ","")&amp;IF(AND(OR(AN5="T17",AO5="P9"),AM5&lt;&gt;"R0"),"T17/P9 harus R0; ","")&amp;IF(AND(AN5="T01",AO5&lt;&gt;"P6"),"T01 biasanya P6 (periksa); ","")&amp;IF(AND(AO5="P1",AQ5&lt;&gt;"K4"),"P1 biasanya K4 (periksa); ","")))</f>
        <v/>
      </c>
    </row>
    <row r="6" customFormat="false" ht="48" hidden="false" customHeight="true" outlineLevel="0" collapsed="false">
      <c r="A6" s="9" t="n">
        <v>3</v>
      </c>
      <c r="B6" s="10" t="str">
        <f aca="false">IF(INDEX(Korpus!$A:$A,$A6)="","",INDEX(Korpus!$A:$A,$A6))</f>
        <v/>
      </c>
      <c r="C6" s="10" t="str">
        <f aca="false">TRIM(INDEX(Korpus!$D:$D,$A6)&amp;" "&amp;INDEX(Korpus!$E:$E,$A6))</f>
        <v/>
      </c>
      <c r="D6" s="10" t="str">
        <f aca="false">IF(INDEX(Korpus!$B:$B,$A6)="","",INDEX(Korpus!$B:$B,$A6))</f>
        <v/>
      </c>
      <c r="E6" s="10" t="str">
        <f aca="false">IF(INDEX(Korpus!$C:$C,$A6)="","",INDEX(Korpus!$C:$C,$A6))</f>
        <v/>
      </c>
      <c r="F6" s="10" t="str">
        <f aca="false">IF(INDEX(Korpus!$F:$F,$A6)="","",INDEX(Korpus!$F:$F,$A6))</f>
        <v/>
      </c>
      <c r="G6" s="11"/>
      <c r="H6" s="11"/>
      <c r="I6" s="11"/>
      <c r="J6" s="11"/>
      <c r="K6" s="11"/>
      <c r="L6" s="11"/>
      <c r="M6" s="12"/>
      <c r="N6" s="12"/>
      <c r="O6" s="12"/>
      <c r="P6" s="12"/>
      <c r="Q6" s="12"/>
      <c r="R6" s="12"/>
      <c r="S6" s="13"/>
      <c r="T6" s="13"/>
      <c r="U6" s="13"/>
      <c r="V6" s="13"/>
      <c r="W6" s="13"/>
      <c r="X6" s="13"/>
      <c r="Y6" s="9" t="str">
        <f aca="false">IF(OR(M6="",S6=""),"",IF(M6=S6,"Sama","Beda"))</f>
        <v/>
      </c>
      <c r="Z6" s="9" t="str">
        <f aca="false">IF(OR(N6="",T6=""),"",IF(N6=T6,"Sama","Beda"))</f>
        <v/>
      </c>
      <c r="AA6" s="9" t="str">
        <f aca="false">IF(OR(O6="",U6=""),"",IF(O6=U6,"Sama","Beda"))</f>
        <v/>
      </c>
      <c r="AB6" s="9" t="str">
        <f aca="false">IF(OR(P6="",V6=""),"",IF(P6=V6,"Sama","Beda"))</f>
        <v/>
      </c>
      <c r="AC6" s="9" t="str">
        <f aca="false">IF(OR(Q6="",W6=""),"",IF(Q6=W6,"Sama","Beda"))</f>
        <v/>
      </c>
      <c r="AD6" s="9" t="str">
        <f aca="false">IF(OR(R6="",X6=""),"",IF(R6=X6,"Sama","Beda"))</f>
        <v/>
      </c>
      <c r="AE6" s="9" t="n">
        <f aca="false">COUNTIF(Y6:AD6,"Beda")</f>
        <v>0</v>
      </c>
      <c r="AF6" s="14"/>
      <c r="AG6" s="14"/>
      <c r="AH6" s="14"/>
      <c r="AI6" s="14"/>
      <c r="AJ6" s="14"/>
      <c r="AK6" s="14"/>
      <c r="AL6" s="15" t="str">
        <f aca="false">IF(AF6&lt;&gt;"",AF6,IF(AND(M6&lt;&gt;"",M6=S6),M6,""))</f>
        <v/>
      </c>
      <c r="AM6" s="15" t="str">
        <f aca="false">IF(AG6&lt;&gt;"",AG6,IF(AND(N6&lt;&gt;"",N6=T6),N6,""))</f>
        <v/>
      </c>
      <c r="AN6" s="15" t="str">
        <f aca="false">IF(AH6&lt;&gt;"",AH6,IF(AND(O6&lt;&gt;"",O6=U6),O6,""))</f>
        <v/>
      </c>
      <c r="AO6" s="15" t="str">
        <f aca="false">IF(AI6&lt;&gt;"",AI6,IF(AND(P6&lt;&gt;"",P6=V6),P6,""))</f>
        <v/>
      </c>
      <c r="AP6" s="15" t="str">
        <f aca="false">IF(AJ6&lt;&gt;"",AJ6,IF(AND(Q6&lt;&gt;"",Q6=W6),Q6,""))</f>
        <v/>
      </c>
      <c r="AQ6" s="15" t="str">
        <f aca="false">IF(AK6&lt;&gt;"",AK6,IF(AND(R6&lt;&gt;"",R6=X6),R6,""))</f>
        <v/>
      </c>
      <c r="AR6" s="16"/>
      <c r="AS6" s="9" t="str">
        <f aca="false">IF(COUNTA(M6:R6)+COUNTA(S6:X6)&lt;12,"Menunggu coder",IF(AE6=0,"Sepakat",IF(SUMPRODUCT((Y6:AD6="Beda")*(AF6:AK6=""))=0,"Selesai adjudikasi","Perlu adjudikasi")))</f>
        <v>Menunggu coder</v>
      </c>
      <c r="AT6" s="10" t="str">
        <f aca="false">IF(COUNTIF(AL6:AQ6,"?*")&lt;6,"",IF(IF(AND(AM6="R0",AQ6&lt;&gt;"K5"),"R0 harus K5; ","")&amp;IF(AND(AM6="R1",AQ6="K3"),"R1 tidak boleh K3 (fungsional); ","")&amp;IF(AND(AM6="R2",AQ6="K5"),"R2 tidak boleh K5; ","")&amp;IF(AND(AM6="R2",OR(AL6="S6",AL6="S7",AL6="S8")),"R2 tidak boleh S6/S7/S8; ","")&amp;IF(AND(AO6="P9",AN6&lt;&gt;"T17"),"P9 hanya dengan T17; ","")&amp;IF(AND(OR(AN6="T17",AO6="P9"),AM6&lt;&gt;"R0"),"T17/P9 harus R0; ","")&amp;IF(AND(AN6="T01",AO6&lt;&gt;"P6"),"T01 biasanya P6 (periksa); ","")&amp;IF(AND(AO6="P1",AQ6&lt;&gt;"K4"),"P1 biasanya K4 (periksa); ","")="","OK",IF(AND(AM6="R0",AQ6&lt;&gt;"K5"),"R0 harus K5; ","")&amp;IF(AND(AM6="R1",AQ6="K3"),"R1 tidak boleh K3 (fungsional); ","")&amp;IF(AND(AM6="R2",AQ6="K5"),"R2 tidak boleh K5; ","")&amp;IF(AND(AM6="R2",OR(AL6="S6",AL6="S7",AL6="S8")),"R2 tidak boleh S6/S7/S8; ","")&amp;IF(AND(AO6="P9",AN6&lt;&gt;"T17"),"P9 hanya dengan T17; ","")&amp;IF(AND(OR(AN6="T17",AO6="P9"),AM6&lt;&gt;"R0"),"T17/P9 harus R0; ","")&amp;IF(AND(AN6="T01",AO6&lt;&gt;"P6"),"T01 biasanya P6 (periksa); ","")&amp;IF(AND(AO6="P1",AQ6&lt;&gt;"K4"),"P1 biasanya K4 (periksa); ","")))</f>
        <v/>
      </c>
    </row>
    <row r="7" customFormat="false" ht="48" hidden="false" customHeight="true" outlineLevel="0" collapsed="false">
      <c r="A7" s="9" t="n">
        <v>4</v>
      </c>
      <c r="B7" s="10" t="str">
        <f aca="false">IF(INDEX(Korpus!$A:$A,$A7)="","",INDEX(Korpus!$A:$A,$A7))</f>
        <v/>
      </c>
      <c r="C7" s="10" t="str">
        <f aca="false">TRIM(INDEX(Korpus!$D:$D,$A7)&amp;" "&amp;INDEX(Korpus!$E:$E,$A7))</f>
        <v/>
      </c>
      <c r="D7" s="10" t="str">
        <f aca="false">IF(INDEX(Korpus!$B:$B,$A7)="","",INDEX(Korpus!$B:$B,$A7))</f>
        <v/>
      </c>
      <c r="E7" s="10" t="str">
        <f aca="false">IF(INDEX(Korpus!$C:$C,$A7)="","",INDEX(Korpus!$C:$C,$A7))</f>
        <v/>
      </c>
      <c r="F7" s="10" t="str">
        <f aca="false">IF(INDEX(Korpus!$F:$F,$A7)="","",INDEX(Korpus!$F:$F,$A7))</f>
        <v/>
      </c>
      <c r="G7" s="11"/>
      <c r="H7" s="11"/>
      <c r="I7" s="11"/>
      <c r="J7" s="11"/>
      <c r="K7" s="11"/>
      <c r="L7" s="11"/>
      <c r="M7" s="12"/>
      <c r="N7" s="12"/>
      <c r="O7" s="12"/>
      <c r="P7" s="12"/>
      <c r="Q7" s="12"/>
      <c r="R7" s="12"/>
      <c r="S7" s="13"/>
      <c r="T7" s="13"/>
      <c r="U7" s="13"/>
      <c r="V7" s="13"/>
      <c r="W7" s="13"/>
      <c r="X7" s="13"/>
      <c r="Y7" s="9" t="str">
        <f aca="false">IF(OR(M7="",S7=""),"",IF(M7=S7,"Sama","Beda"))</f>
        <v/>
      </c>
      <c r="Z7" s="9" t="str">
        <f aca="false">IF(OR(N7="",T7=""),"",IF(N7=T7,"Sama","Beda"))</f>
        <v/>
      </c>
      <c r="AA7" s="9" t="str">
        <f aca="false">IF(OR(O7="",U7=""),"",IF(O7=U7,"Sama","Beda"))</f>
        <v/>
      </c>
      <c r="AB7" s="9" t="str">
        <f aca="false">IF(OR(P7="",V7=""),"",IF(P7=V7,"Sama","Beda"))</f>
        <v/>
      </c>
      <c r="AC7" s="9" t="str">
        <f aca="false">IF(OR(Q7="",W7=""),"",IF(Q7=W7,"Sama","Beda"))</f>
        <v/>
      </c>
      <c r="AD7" s="9" t="str">
        <f aca="false">IF(OR(R7="",X7=""),"",IF(R7=X7,"Sama","Beda"))</f>
        <v/>
      </c>
      <c r="AE7" s="9" t="n">
        <f aca="false">COUNTIF(Y7:AD7,"Beda")</f>
        <v>0</v>
      </c>
      <c r="AF7" s="14"/>
      <c r="AG7" s="14"/>
      <c r="AH7" s="14"/>
      <c r="AI7" s="14"/>
      <c r="AJ7" s="14"/>
      <c r="AK7" s="14"/>
      <c r="AL7" s="15" t="str">
        <f aca="false">IF(AF7&lt;&gt;"",AF7,IF(AND(M7&lt;&gt;"",M7=S7),M7,""))</f>
        <v/>
      </c>
      <c r="AM7" s="15" t="str">
        <f aca="false">IF(AG7&lt;&gt;"",AG7,IF(AND(N7&lt;&gt;"",N7=T7),N7,""))</f>
        <v/>
      </c>
      <c r="AN7" s="15" t="str">
        <f aca="false">IF(AH7&lt;&gt;"",AH7,IF(AND(O7&lt;&gt;"",O7=U7),O7,""))</f>
        <v/>
      </c>
      <c r="AO7" s="15" t="str">
        <f aca="false">IF(AI7&lt;&gt;"",AI7,IF(AND(P7&lt;&gt;"",P7=V7),P7,""))</f>
        <v/>
      </c>
      <c r="AP7" s="15" t="str">
        <f aca="false">IF(AJ7&lt;&gt;"",AJ7,IF(AND(Q7&lt;&gt;"",Q7=W7),Q7,""))</f>
        <v/>
      </c>
      <c r="AQ7" s="15" t="str">
        <f aca="false">IF(AK7&lt;&gt;"",AK7,IF(AND(R7&lt;&gt;"",R7=X7),R7,""))</f>
        <v/>
      </c>
      <c r="AR7" s="16"/>
      <c r="AS7" s="9" t="str">
        <f aca="false">IF(COUNTA(M7:R7)+COUNTA(S7:X7)&lt;12,"Menunggu coder",IF(AE7=0,"Sepakat",IF(SUMPRODUCT((Y7:AD7="Beda")*(AF7:AK7=""))=0,"Selesai adjudikasi","Perlu adjudikasi")))</f>
        <v>Menunggu coder</v>
      </c>
      <c r="AT7" s="10" t="str">
        <f aca="false">IF(COUNTIF(AL7:AQ7,"?*")&lt;6,"",IF(IF(AND(AM7="R0",AQ7&lt;&gt;"K5"),"R0 harus K5; ","")&amp;IF(AND(AM7="R1",AQ7="K3"),"R1 tidak boleh K3 (fungsional); ","")&amp;IF(AND(AM7="R2",AQ7="K5"),"R2 tidak boleh K5; ","")&amp;IF(AND(AM7="R2",OR(AL7="S6",AL7="S7",AL7="S8")),"R2 tidak boleh S6/S7/S8; ","")&amp;IF(AND(AO7="P9",AN7&lt;&gt;"T17"),"P9 hanya dengan T17; ","")&amp;IF(AND(OR(AN7="T17",AO7="P9"),AM7&lt;&gt;"R0"),"T17/P9 harus R0; ","")&amp;IF(AND(AN7="T01",AO7&lt;&gt;"P6"),"T01 biasanya P6 (periksa); ","")&amp;IF(AND(AO7="P1",AQ7&lt;&gt;"K4"),"P1 biasanya K4 (periksa); ","")="","OK",IF(AND(AM7="R0",AQ7&lt;&gt;"K5"),"R0 harus K5; ","")&amp;IF(AND(AM7="R1",AQ7="K3"),"R1 tidak boleh K3 (fungsional); ","")&amp;IF(AND(AM7="R2",AQ7="K5"),"R2 tidak boleh K5; ","")&amp;IF(AND(AM7="R2",OR(AL7="S6",AL7="S7",AL7="S8")),"R2 tidak boleh S6/S7/S8; ","")&amp;IF(AND(AO7="P9",AN7&lt;&gt;"T17"),"P9 hanya dengan T17; ","")&amp;IF(AND(OR(AN7="T17",AO7="P9"),AM7&lt;&gt;"R0"),"T17/P9 harus R0; ","")&amp;IF(AND(AN7="T01",AO7&lt;&gt;"P6"),"T01 biasanya P6 (periksa); ","")&amp;IF(AND(AO7="P1",AQ7&lt;&gt;"K4"),"P1 biasanya K4 (periksa); ","")))</f>
        <v/>
      </c>
    </row>
    <row r="8" customFormat="false" ht="48" hidden="false" customHeight="true" outlineLevel="0" collapsed="false">
      <c r="A8" s="9" t="n">
        <v>5</v>
      </c>
      <c r="B8" s="10" t="str">
        <f aca="false">IF(INDEX(Korpus!$A:$A,$A8)="","",INDEX(Korpus!$A:$A,$A8))</f>
        <v/>
      </c>
      <c r="C8" s="10" t="str">
        <f aca="false">TRIM(INDEX(Korpus!$D:$D,$A8)&amp;" "&amp;INDEX(Korpus!$E:$E,$A8))</f>
        <v/>
      </c>
      <c r="D8" s="10" t="str">
        <f aca="false">IF(INDEX(Korpus!$B:$B,$A8)="","",INDEX(Korpus!$B:$B,$A8))</f>
        <v/>
      </c>
      <c r="E8" s="10" t="str">
        <f aca="false">IF(INDEX(Korpus!$C:$C,$A8)="","",INDEX(Korpus!$C:$C,$A8))</f>
        <v/>
      </c>
      <c r="F8" s="10" t="str">
        <f aca="false">IF(INDEX(Korpus!$F:$F,$A8)="","",INDEX(Korpus!$F:$F,$A8))</f>
        <v/>
      </c>
      <c r="G8" s="11"/>
      <c r="H8" s="11"/>
      <c r="I8" s="11"/>
      <c r="J8" s="11"/>
      <c r="K8" s="11"/>
      <c r="L8" s="11"/>
      <c r="M8" s="12"/>
      <c r="N8" s="12"/>
      <c r="O8" s="12"/>
      <c r="P8" s="12"/>
      <c r="Q8" s="12"/>
      <c r="R8" s="12"/>
      <c r="S8" s="13"/>
      <c r="T8" s="13"/>
      <c r="U8" s="13"/>
      <c r="V8" s="13"/>
      <c r="W8" s="13"/>
      <c r="X8" s="13"/>
      <c r="Y8" s="9" t="str">
        <f aca="false">IF(OR(M8="",S8=""),"",IF(M8=S8,"Sama","Beda"))</f>
        <v/>
      </c>
      <c r="Z8" s="9" t="str">
        <f aca="false">IF(OR(N8="",T8=""),"",IF(N8=T8,"Sama","Beda"))</f>
        <v/>
      </c>
      <c r="AA8" s="9" t="str">
        <f aca="false">IF(OR(O8="",U8=""),"",IF(O8=U8,"Sama","Beda"))</f>
        <v/>
      </c>
      <c r="AB8" s="9" t="str">
        <f aca="false">IF(OR(P8="",V8=""),"",IF(P8=V8,"Sama","Beda"))</f>
        <v/>
      </c>
      <c r="AC8" s="9" t="str">
        <f aca="false">IF(OR(Q8="",W8=""),"",IF(Q8=W8,"Sama","Beda"))</f>
        <v/>
      </c>
      <c r="AD8" s="9" t="str">
        <f aca="false">IF(OR(R8="",X8=""),"",IF(R8=X8,"Sama","Beda"))</f>
        <v/>
      </c>
      <c r="AE8" s="9" t="n">
        <f aca="false">COUNTIF(Y8:AD8,"Beda")</f>
        <v>0</v>
      </c>
      <c r="AF8" s="14"/>
      <c r="AG8" s="14"/>
      <c r="AH8" s="14"/>
      <c r="AI8" s="14"/>
      <c r="AJ8" s="14"/>
      <c r="AK8" s="14"/>
      <c r="AL8" s="15" t="str">
        <f aca="false">IF(AF8&lt;&gt;"",AF8,IF(AND(M8&lt;&gt;"",M8=S8),M8,""))</f>
        <v/>
      </c>
      <c r="AM8" s="15" t="str">
        <f aca="false">IF(AG8&lt;&gt;"",AG8,IF(AND(N8&lt;&gt;"",N8=T8),N8,""))</f>
        <v/>
      </c>
      <c r="AN8" s="15" t="str">
        <f aca="false">IF(AH8&lt;&gt;"",AH8,IF(AND(O8&lt;&gt;"",O8=U8),O8,""))</f>
        <v/>
      </c>
      <c r="AO8" s="15" t="str">
        <f aca="false">IF(AI8&lt;&gt;"",AI8,IF(AND(P8&lt;&gt;"",P8=V8),P8,""))</f>
        <v/>
      </c>
      <c r="AP8" s="15" t="str">
        <f aca="false">IF(AJ8&lt;&gt;"",AJ8,IF(AND(Q8&lt;&gt;"",Q8=W8),Q8,""))</f>
        <v/>
      </c>
      <c r="AQ8" s="15" t="str">
        <f aca="false">IF(AK8&lt;&gt;"",AK8,IF(AND(R8&lt;&gt;"",R8=X8),R8,""))</f>
        <v/>
      </c>
      <c r="AR8" s="16"/>
      <c r="AS8" s="9" t="str">
        <f aca="false">IF(COUNTA(M8:R8)+COUNTA(S8:X8)&lt;12,"Menunggu coder",IF(AE8=0,"Sepakat",IF(SUMPRODUCT((Y8:AD8="Beda")*(AF8:AK8=""))=0,"Selesai adjudikasi","Perlu adjudikasi")))</f>
        <v>Menunggu coder</v>
      </c>
      <c r="AT8" s="10" t="str">
        <f aca="false">IF(COUNTIF(AL8:AQ8,"?*")&lt;6,"",IF(IF(AND(AM8="R0",AQ8&lt;&gt;"K5"),"R0 harus K5; ","")&amp;IF(AND(AM8="R1",AQ8="K3"),"R1 tidak boleh K3 (fungsional); ","")&amp;IF(AND(AM8="R2",AQ8="K5"),"R2 tidak boleh K5; ","")&amp;IF(AND(AM8="R2",OR(AL8="S6",AL8="S7",AL8="S8")),"R2 tidak boleh S6/S7/S8; ","")&amp;IF(AND(AO8="P9",AN8&lt;&gt;"T17"),"P9 hanya dengan T17; ","")&amp;IF(AND(OR(AN8="T17",AO8="P9"),AM8&lt;&gt;"R0"),"T17/P9 harus R0; ","")&amp;IF(AND(AN8="T01",AO8&lt;&gt;"P6"),"T01 biasanya P6 (periksa); ","")&amp;IF(AND(AO8="P1",AQ8&lt;&gt;"K4"),"P1 biasanya K4 (periksa); ","")="","OK",IF(AND(AM8="R0",AQ8&lt;&gt;"K5"),"R0 harus K5; ","")&amp;IF(AND(AM8="R1",AQ8="K3"),"R1 tidak boleh K3 (fungsional); ","")&amp;IF(AND(AM8="R2",AQ8="K5"),"R2 tidak boleh K5; ","")&amp;IF(AND(AM8="R2",OR(AL8="S6",AL8="S7",AL8="S8")),"R2 tidak boleh S6/S7/S8; ","")&amp;IF(AND(AO8="P9",AN8&lt;&gt;"T17"),"P9 hanya dengan T17; ","")&amp;IF(AND(OR(AN8="T17",AO8="P9"),AM8&lt;&gt;"R0"),"T17/P9 harus R0; ","")&amp;IF(AND(AN8="T01",AO8&lt;&gt;"P6"),"T01 biasanya P6 (periksa); ","")&amp;IF(AND(AO8="P1",AQ8&lt;&gt;"K4"),"P1 biasanya K4 (periksa); ","")))</f>
        <v/>
      </c>
    </row>
    <row r="9" customFormat="false" ht="48" hidden="false" customHeight="true" outlineLevel="0" collapsed="false">
      <c r="A9" s="9" t="n">
        <v>6</v>
      </c>
      <c r="B9" s="10" t="str">
        <f aca="false">IF(INDEX(Korpus!$A:$A,$A9)="","",INDEX(Korpus!$A:$A,$A9))</f>
        <v/>
      </c>
      <c r="C9" s="10" t="str">
        <f aca="false">TRIM(INDEX(Korpus!$D:$D,$A9)&amp;" "&amp;INDEX(Korpus!$E:$E,$A9))</f>
        <v/>
      </c>
      <c r="D9" s="10" t="str">
        <f aca="false">IF(INDEX(Korpus!$B:$B,$A9)="","",INDEX(Korpus!$B:$B,$A9))</f>
        <v/>
      </c>
      <c r="E9" s="10" t="str">
        <f aca="false">IF(INDEX(Korpus!$C:$C,$A9)="","",INDEX(Korpus!$C:$C,$A9))</f>
        <v/>
      </c>
      <c r="F9" s="10" t="str">
        <f aca="false">IF(INDEX(Korpus!$F:$F,$A9)="","",INDEX(Korpus!$F:$F,$A9))</f>
        <v/>
      </c>
      <c r="G9" s="11"/>
      <c r="H9" s="11"/>
      <c r="I9" s="11"/>
      <c r="J9" s="11"/>
      <c r="K9" s="11"/>
      <c r="L9" s="11"/>
      <c r="M9" s="12"/>
      <c r="N9" s="12"/>
      <c r="O9" s="12"/>
      <c r="P9" s="12"/>
      <c r="Q9" s="12"/>
      <c r="R9" s="12"/>
      <c r="S9" s="13"/>
      <c r="T9" s="13"/>
      <c r="U9" s="13"/>
      <c r="V9" s="13"/>
      <c r="W9" s="13"/>
      <c r="X9" s="13"/>
      <c r="Y9" s="9" t="str">
        <f aca="false">IF(OR(M9="",S9=""),"",IF(M9=S9,"Sama","Beda"))</f>
        <v/>
      </c>
      <c r="Z9" s="9" t="str">
        <f aca="false">IF(OR(N9="",T9=""),"",IF(N9=T9,"Sama","Beda"))</f>
        <v/>
      </c>
      <c r="AA9" s="9" t="str">
        <f aca="false">IF(OR(O9="",U9=""),"",IF(O9=U9,"Sama","Beda"))</f>
        <v/>
      </c>
      <c r="AB9" s="9" t="str">
        <f aca="false">IF(OR(P9="",V9=""),"",IF(P9=V9,"Sama","Beda"))</f>
        <v/>
      </c>
      <c r="AC9" s="9" t="str">
        <f aca="false">IF(OR(Q9="",W9=""),"",IF(Q9=W9,"Sama","Beda"))</f>
        <v/>
      </c>
      <c r="AD9" s="9" t="str">
        <f aca="false">IF(OR(R9="",X9=""),"",IF(R9=X9,"Sama","Beda"))</f>
        <v/>
      </c>
      <c r="AE9" s="9" t="n">
        <f aca="false">COUNTIF(Y9:AD9,"Beda")</f>
        <v>0</v>
      </c>
      <c r="AF9" s="14"/>
      <c r="AG9" s="14"/>
      <c r="AH9" s="14"/>
      <c r="AI9" s="14"/>
      <c r="AJ9" s="14"/>
      <c r="AK9" s="14"/>
      <c r="AL9" s="15" t="str">
        <f aca="false">IF(AF9&lt;&gt;"",AF9,IF(AND(M9&lt;&gt;"",M9=S9),M9,""))</f>
        <v/>
      </c>
      <c r="AM9" s="15" t="str">
        <f aca="false">IF(AG9&lt;&gt;"",AG9,IF(AND(N9&lt;&gt;"",N9=T9),N9,""))</f>
        <v/>
      </c>
      <c r="AN9" s="15" t="str">
        <f aca="false">IF(AH9&lt;&gt;"",AH9,IF(AND(O9&lt;&gt;"",O9=U9),O9,""))</f>
        <v/>
      </c>
      <c r="AO9" s="15" t="str">
        <f aca="false">IF(AI9&lt;&gt;"",AI9,IF(AND(P9&lt;&gt;"",P9=V9),P9,""))</f>
        <v/>
      </c>
      <c r="AP9" s="15" t="str">
        <f aca="false">IF(AJ9&lt;&gt;"",AJ9,IF(AND(Q9&lt;&gt;"",Q9=W9),Q9,""))</f>
        <v/>
      </c>
      <c r="AQ9" s="15" t="str">
        <f aca="false">IF(AK9&lt;&gt;"",AK9,IF(AND(R9&lt;&gt;"",R9=X9),R9,""))</f>
        <v/>
      </c>
      <c r="AR9" s="16"/>
      <c r="AS9" s="9" t="str">
        <f aca="false">IF(COUNTA(M9:R9)+COUNTA(S9:X9)&lt;12,"Menunggu coder",IF(AE9=0,"Sepakat",IF(SUMPRODUCT((Y9:AD9="Beda")*(AF9:AK9=""))=0,"Selesai adjudikasi","Perlu adjudikasi")))</f>
        <v>Menunggu coder</v>
      </c>
      <c r="AT9" s="10" t="str">
        <f aca="false">IF(COUNTIF(AL9:AQ9,"?*")&lt;6,"",IF(IF(AND(AM9="R0",AQ9&lt;&gt;"K5"),"R0 harus K5; ","")&amp;IF(AND(AM9="R1",AQ9="K3"),"R1 tidak boleh K3 (fungsional); ","")&amp;IF(AND(AM9="R2",AQ9="K5"),"R2 tidak boleh K5; ","")&amp;IF(AND(AM9="R2",OR(AL9="S6",AL9="S7",AL9="S8")),"R2 tidak boleh S6/S7/S8; ","")&amp;IF(AND(AO9="P9",AN9&lt;&gt;"T17"),"P9 hanya dengan T17; ","")&amp;IF(AND(OR(AN9="T17",AO9="P9"),AM9&lt;&gt;"R0"),"T17/P9 harus R0; ","")&amp;IF(AND(AN9="T01",AO9&lt;&gt;"P6"),"T01 biasanya P6 (periksa); ","")&amp;IF(AND(AO9="P1",AQ9&lt;&gt;"K4"),"P1 biasanya K4 (periksa); ","")="","OK",IF(AND(AM9="R0",AQ9&lt;&gt;"K5"),"R0 harus K5; ","")&amp;IF(AND(AM9="R1",AQ9="K3"),"R1 tidak boleh K3 (fungsional); ","")&amp;IF(AND(AM9="R2",AQ9="K5"),"R2 tidak boleh K5; ","")&amp;IF(AND(AM9="R2",OR(AL9="S6",AL9="S7",AL9="S8")),"R2 tidak boleh S6/S7/S8; ","")&amp;IF(AND(AO9="P9",AN9&lt;&gt;"T17"),"P9 hanya dengan T17; ","")&amp;IF(AND(OR(AN9="T17",AO9="P9"),AM9&lt;&gt;"R0"),"T17/P9 harus R0; ","")&amp;IF(AND(AN9="T01",AO9&lt;&gt;"P6"),"T01 biasanya P6 (periksa); ","")&amp;IF(AND(AO9="P1",AQ9&lt;&gt;"K4"),"P1 biasanya K4 (periksa); ","")))</f>
        <v/>
      </c>
    </row>
    <row r="10" customFormat="false" ht="48" hidden="false" customHeight="true" outlineLevel="0" collapsed="false">
      <c r="A10" s="9" t="n">
        <v>7</v>
      </c>
      <c r="B10" s="10" t="str">
        <f aca="false">IF(INDEX(Korpus!$A:$A,$A10)="","",INDEX(Korpus!$A:$A,$A10))</f>
        <v/>
      </c>
      <c r="C10" s="10" t="str">
        <f aca="false">TRIM(INDEX(Korpus!$D:$D,$A10)&amp;" "&amp;INDEX(Korpus!$E:$E,$A10))</f>
        <v/>
      </c>
      <c r="D10" s="10" t="str">
        <f aca="false">IF(INDEX(Korpus!$B:$B,$A10)="","",INDEX(Korpus!$B:$B,$A10))</f>
        <v/>
      </c>
      <c r="E10" s="10" t="str">
        <f aca="false">IF(INDEX(Korpus!$C:$C,$A10)="","",INDEX(Korpus!$C:$C,$A10))</f>
        <v/>
      </c>
      <c r="F10" s="10" t="str">
        <f aca="false">IF(INDEX(Korpus!$F:$F,$A10)="","",INDEX(Korpus!$F:$F,$A10))</f>
        <v/>
      </c>
      <c r="G10" s="11"/>
      <c r="H10" s="11"/>
      <c r="I10" s="11"/>
      <c r="J10" s="11"/>
      <c r="K10" s="11"/>
      <c r="L10" s="11"/>
      <c r="M10" s="12"/>
      <c r="N10" s="12"/>
      <c r="O10" s="12"/>
      <c r="P10" s="12"/>
      <c r="Q10" s="12"/>
      <c r="R10" s="12"/>
      <c r="S10" s="13"/>
      <c r="T10" s="13"/>
      <c r="U10" s="13"/>
      <c r="V10" s="13"/>
      <c r="W10" s="13"/>
      <c r="X10" s="13"/>
      <c r="Y10" s="9" t="str">
        <f aca="false">IF(OR(M10="",S10=""),"",IF(M10=S10,"Sama","Beda"))</f>
        <v/>
      </c>
      <c r="Z10" s="9" t="str">
        <f aca="false">IF(OR(N10="",T10=""),"",IF(N10=T10,"Sama","Beda"))</f>
        <v/>
      </c>
      <c r="AA10" s="9" t="str">
        <f aca="false">IF(OR(O10="",U10=""),"",IF(O10=U10,"Sama","Beda"))</f>
        <v/>
      </c>
      <c r="AB10" s="9" t="str">
        <f aca="false">IF(OR(P10="",V10=""),"",IF(P10=V10,"Sama","Beda"))</f>
        <v/>
      </c>
      <c r="AC10" s="9" t="str">
        <f aca="false">IF(OR(Q10="",W10=""),"",IF(Q10=W10,"Sama","Beda"))</f>
        <v/>
      </c>
      <c r="AD10" s="9" t="str">
        <f aca="false">IF(OR(R10="",X10=""),"",IF(R10=X10,"Sama","Beda"))</f>
        <v/>
      </c>
      <c r="AE10" s="9" t="n">
        <f aca="false">COUNTIF(Y10:AD10,"Beda")</f>
        <v>0</v>
      </c>
      <c r="AF10" s="14"/>
      <c r="AG10" s="14"/>
      <c r="AH10" s="14"/>
      <c r="AI10" s="14"/>
      <c r="AJ10" s="14"/>
      <c r="AK10" s="14"/>
      <c r="AL10" s="15" t="str">
        <f aca="false">IF(AF10&lt;&gt;"",AF10,IF(AND(M10&lt;&gt;"",M10=S10),M10,""))</f>
        <v/>
      </c>
      <c r="AM10" s="15" t="str">
        <f aca="false">IF(AG10&lt;&gt;"",AG10,IF(AND(N10&lt;&gt;"",N10=T10),N10,""))</f>
        <v/>
      </c>
      <c r="AN10" s="15" t="str">
        <f aca="false">IF(AH10&lt;&gt;"",AH10,IF(AND(O10&lt;&gt;"",O10=U10),O10,""))</f>
        <v/>
      </c>
      <c r="AO10" s="15" t="str">
        <f aca="false">IF(AI10&lt;&gt;"",AI10,IF(AND(P10&lt;&gt;"",P10=V10),P10,""))</f>
        <v/>
      </c>
      <c r="AP10" s="15" t="str">
        <f aca="false">IF(AJ10&lt;&gt;"",AJ10,IF(AND(Q10&lt;&gt;"",Q10=W10),Q10,""))</f>
        <v/>
      </c>
      <c r="AQ10" s="15" t="str">
        <f aca="false">IF(AK10&lt;&gt;"",AK10,IF(AND(R10&lt;&gt;"",R10=X10),R10,""))</f>
        <v/>
      </c>
      <c r="AR10" s="16"/>
      <c r="AS10" s="9" t="str">
        <f aca="false">IF(COUNTA(M10:R10)+COUNTA(S10:X10)&lt;12,"Menunggu coder",IF(AE10=0,"Sepakat",IF(SUMPRODUCT((Y10:AD10="Beda")*(AF10:AK10=""))=0,"Selesai adjudikasi","Perlu adjudikasi")))</f>
        <v>Menunggu coder</v>
      </c>
      <c r="AT10" s="10" t="str">
        <f aca="false">IF(COUNTIF(AL10:AQ10,"?*")&lt;6,"",IF(IF(AND(AM10="R0",AQ10&lt;&gt;"K5"),"R0 harus K5; ","")&amp;IF(AND(AM10="R1",AQ10="K3"),"R1 tidak boleh K3 (fungsional); ","")&amp;IF(AND(AM10="R2",AQ10="K5"),"R2 tidak boleh K5; ","")&amp;IF(AND(AM10="R2",OR(AL10="S6",AL10="S7",AL10="S8")),"R2 tidak boleh S6/S7/S8; ","")&amp;IF(AND(AO10="P9",AN10&lt;&gt;"T17"),"P9 hanya dengan T17; ","")&amp;IF(AND(OR(AN10="T17",AO10="P9"),AM10&lt;&gt;"R0"),"T17/P9 harus R0; ","")&amp;IF(AND(AN10="T01",AO10&lt;&gt;"P6"),"T01 biasanya P6 (periksa); ","")&amp;IF(AND(AO10="P1",AQ10&lt;&gt;"K4"),"P1 biasanya K4 (periksa); ","")="","OK",IF(AND(AM10="R0",AQ10&lt;&gt;"K5"),"R0 harus K5; ","")&amp;IF(AND(AM10="R1",AQ10="K3"),"R1 tidak boleh K3 (fungsional); ","")&amp;IF(AND(AM10="R2",AQ10="K5"),"R2 tidak boleh K5; ","")&amp;IF(AND(AM10="R2",OR(AL10="S6",AL10="S7",AL10="S8")),"R2 tidak boleh S6/S7/S8; ","")&amp;IF(AND(AO10="P9",AN10&lt;&gt;"T17"),"P9 hanya dengan T17; ","")&amp;IF(AND(OR(AN10="T17",AO10="P9"),AM10&lt;&gt;"R0"),"T17/P9 harus R0; ","")&amp;IF(AND(AN10="T01",AO10&lt;&gt;"P6"),"T01 biasanya P6 (periksa); ","")&amp;IF(AND(AO10="P1",AQ10&lt;&gt;"K4"),"P1 biasanya K4 (periksa); ","")))</f>
        <v/>
      </c>
    </row>
    <row r="11" customFormat="false" ht="48" hidden="false" customHeight="true" outlineLevel="0" collapsed="false">
      <c r="A11" s="9" t="n">
        <v>8</v>
      </c>
      <c r="B11" s="10" t="str">
        <f aca="false">IF(INDEX(Korpus!$A:$A,$A11)="","",INDEX(Korpus!$A:$A,$A11))</f>
        <v/>
      </c>
      <c r="C11" s="10" t="str">
        <f aca="false">TRIM(INDEX(Korpus!$D:$D,$A11)&amp;" "&amp;INDEX(Korpus!$E:$E,$A11))</f>
        <v/>
      </c>
      <c r="D11" s="10" t="str">
        <f aca="false">IF(INDEX(Korpus!$B:$B,$A11)="","",INDEX(Korpus!$B:$B,$A11))</f>
        <v/>
      </c>
      <c r="E11" s="10" t="str">
        <f aca="false">IF(INDEX(Korpus!$C:$C,$A11)="","",INDEX(Korpus!$C:$C,$A11))</f>
        <v/>
      </c>
      <c r="F11" s="10" t="str">
        <f aca="false">IF(INDEX(Korpus!$F:$F,$A11)="","",INDEX(Korpus!$F:$F,$A11))</f>
        <v/>
      </c>
      <c r="G11" s="11"/>
      <c r="H11" s="11"/>
      <c r="I11" s="11"/>
      <c r="J11" s="11"/>
      <c r="K11" s="11"/>
      <c r="L11" s="11"/>
      <c r="M11" s="12"/>
      <c r="N11" s="12"/>
      <c r="O11" s="12"/>
      <c r="P11" s="12"/>
      <c r="Q11" s="12"/>
      <c r="R11" s="12"/>
      <c r="S11" s="13"/>
      <c r="T11" s="13"/>
      <c r="U11" s="13"/>
      <c r="V11" s="13"/>
      <c r="W11" s="13"/>
      <c r="X11" s="13"/>
      <c r="Y11" s="9" t="str">
        <f aca="false">IF(OR(M11="",S11=""),"",IF(M11=S11,"Sama","Beda"))</f>
        <v/>
      </c>
      <c r="Z11" s="9" t="str">
        <f aca="false">IF(OR(N11="",T11=""),"",IF(N11=T11,"Sama","Beda"))</f>
        <v/>
      </c>
      <c r="AA11" s="9" t="str">
        <f aca="false">IF(OR(O11="",U11=""),"",IF(O11=U11,"Sama","Beda"))</f>
        <v/>
      </c>
      <c r="AB11" s="9" t="str">
        <f aca="false">IF(OR(P11="",V11=""),"",IF(P11=V11,"Sama","Beda"))</f>
        <v/>
      </c>
      <c r="AC11" s="9" t="str">
        <f aca="false">IF(OR(Q11="",W11=""),"",IF(Q11=W11,"Sama","Beda"))</f>
        <v/>
      </c>
      <c r="AD11" s="9" t="str">
        <f aca="false">IF(OR(R11="",X11=""),"",IF(R11=X11,"Sama","Beda"))</f>
        <v/>
      </c>
      <c r="AE11" s="9" t="n">
        <f aca="false">COUNTIF(Y11:AD11,"Beda")</f>
        <v>0</v>
      </c>
      <c r="AF11" s="14"/>
      <c r="AG11" s="14"/>
      <c r="AH11" s="14"/>
      <c r="AI11" s="14"/>
      <c r="AJ11" s="14"/>
      <c r="AK11" s="14"/>
      <c r="AL11" s="15" t="str">
        <f aca="false">IF(AF11&lt;&gt;"",AF11,IF(AND(M11&lt;&gt;"",M11=S11),M11,""))</f>
        <v/>
      </c>
      <c r="AM11" s="15" t="str">
        <f aca="false">IF(AG11&lt;&gt;"",AG11,IF(AND(N11&lt;&gt;"",N11=T11),N11,""))</f>
        <v/>
      </c>
      <c r="AN11" s="15" t="str">
        <f aca="false">IF(AH11&lt;&gt;"",AH11,IF(AND(O11&lt;&gt;"",O11=U11),O11,""))</f>
        <v/>
      </c>
      <c r="AO11" s="15" t="str">
        <f aca="false">IF(AI11&lt;&gt;"",AI11,IF(AND(P11&lt;&gt;"",P11=V11),P11,""))</f>
        <v/>
      </c>
      <c r="AP11" s="15" t="str">
        <f aca="false">IF(AJ11&lt;&gt;"",AJ11,IF(AND(Q11&lt;&gt;"",Q11=W11),Q11,""))</f>
        <v/>
      </c>
      <c r="AQ11" s="15" t="str">
        <f aca="false">IF(AK11&lt;&gt;"",AK11,IF(AND(R11&lt;&gt;"",R11=X11),R11,""))</f>
        <v/>
      </c>
      <c r="AR11" s="16"/>
      <c r="AS11" s="9" t="str">
        <f aca="false">IF(COUNTA(M11:R11)+COUNTA(S11:X11)&lt;12,"Menunggu coder",IF(AE11=0,"Sepakat",IF(SUMPRODUCT((Y11:AD11="Beda")*(AF11:AK11=""))=0,"Selesai adjudikasi","Perlu adjudikasi")))</f>
        <v>Menunggu coder</v>
      </c>
      <c r="AT11" s="10" t="str">
        <f aca="false">IF(COUNTIF(AL11:AQ11,"?*")&lt;6,"",IF(IF(AND(AM11="R0",AQ11&lt;&gt;"K5"),"R0 harus K5; ","")&amp;IF(AND(AM11="R1",AQ11="K3"),"R1 tidak boleh K3 (fungsional); ","")&amp;IF(AND(AM11="R2",AQ11="K5"),"R2 tidak boleh K5; ","")&amp;IF(AND(AM11="R2",OR(AL11="S6",AL11="S7",AL11="S8")),"R2 tidak boleh S6/S7/S8; ","")&amp;IF(AND(AO11="P9",AN11&lt;&gt;"T17"),"P9 hanya dengan T17; ","")&amp;IF(AND(OR(AN11="T17",AO11="P9"),AM11&lt;&gt;"R0"),"T17/P9 harus R0; ","")&amp;IF(AND(AN11="T01",AO11&lt;&gt;"P6"),"T01 biasanya P6 (periksa); ","")&amp;IF(AND(AO11="P1",AQ11&lt;&gt;"K4"),"P1 biasanya K4 (periksa); ","")="","OK",IF(AND(AM11="R0",AQ11&lt;&gt;"K5"),"R0 harus K5; ","")&amp;IF(AND(AM11="R1",AQ11="K3"),"R1 tidak boleh K3 (fungsional); ","")&amp;IF(AND(AM11="R2",AQ11="K5"),"R2 tidak boleh K5; ","")&amp;IF(AND(AM11="R2",OR(AL11="S6",AL11="S7",AL11="S8")),"R2 tidak boleh S6/S7/S8; ","")&amp;IF(AND(AO11="P9",AN11&lt;&gt;"T17"),"P9 hanya dengan T17; ","")&amp;IF(AND(OR(AN11="T17",AO11="P9"),AM11&lt;&gt;"R0"),"T17/P9 harus R0; ","")&amp;IF(AND(AN11="T01",AO11&lt;&gt;"P6"),"T01 biasanya P6 (periksa); ","")&amp;IF(AND(AO11="P1",AQ11&lt;&gt;"K4"),"P1 biasanya K4 (periksa); ","")))</f>
        <v/>
      </c>
    </row>
    <row r="12" customFormat="false" ht="48" hidden="false" customHeight="true" outlineLevel="0" collapsed="false">
      <c r="A12" s="9" t="n">
        <v>9</v>
      </c>
      <c r="B12" s="10" t="str">
        <f aca="false">IF(INDEX(Korpus!$A:$A,$A12)="","",INDEX(Korpus!$A:$A,$A12))</f>
        <v/>
      </c>
      <c r="C12" s="10" t="str">
        <f aca="false">TRIM(INDEX(Korpus!$D:$D,$A12)&amp;" "&amp;INDEX(Korpus!$E:$E,$A12))</f>
        <v/>
      </c>
      <c r="D12" s="10" t="str">
        <f aca="false">IF(INDEX(Korpus!$B:$B,$A12)="","",INDEX(Korpus!$B:$B,$A12))</f>
        <v/>
      </c>
      <c r="E12" s="10" t="str">
        <f aca="false">IF(INDEX(Korpus!$C:$C,$A12)="","",INDEX(Korpus!$C:$C,$A12))</f>
        <v/>
      </c>
      <c r="F12" s="10" t="str">
        <f aca="false">IF(INDEX(Korpus!$F:$F,$A12)="","",INDEX(Korpus!$F:$F,$A12))</f>
        <v/>
      </c>
      <c r="G12" s="11"/>
      <c r="H12" s="11"/>
      <c r="I12" s="11"/>
      <c r="J12" s="11"/>
      <c r="K12" s="11"/>
      <c r="L12" s="11"/>
      <c r="M12" s="12"/>
      <c r="N12" s="12"/>
      <c r="O12" s="12"/>
      <c r="P12" s="12"/>
      <c r="Q12" s="12"/>
      <c r="R12" s="12"/>
      <c r="S12" s="13"/>
      <c r="T12" s="13"/>
      <c r="U12" s="13"/>
      <c r="V12" s="13"/>
      <c r="W12" s="13"/>
      <c r="X12" s="13"/>
      <c r="Y12" s="9" t="str">
        <f aca="false">IF(OR(M12="",S12=""),"",IF(M12=S12,"Sama","Beda"))</f>
        <v/>
      </c>
      <c r="Z12" s="9" t="str">
        <f aca="false">IF(OR(N12="",T12=""),"",IF(N12=T12,"Sama","Beda"))</f>
        <v/>
      </c>
      <c r="AA12" s="9" t="str">
        <f aca="false">IF(OR(O12="",U12=""),"",IF(O12=U12,"Sama","Beda"))</f>
        <v/>
      </c>
      <c r="AB12" s="9" t="str">
        <f aca="false">IF(OR(P12="",V12=""),"",IF(P12=V12,"Sama","Beda"))</f>
        <v/>
      </c>
      <c r="AC12" s="9" t="str">
        <f aca="false">IF(OR(Q12="",W12=""),"",IF(Q12=W12,"Sama","Beda"))</f>
        <v/>
      </c>
      <c r="AD12" s="9" t="str">
        <f aca="false">IF(OR(R12="",X12=""),"",IF(R12=X12,"Sama","Beda"))</f>
        <v/>
      </c>
      <c r="AE12" s="9" t="n">
        <f aca="false">COUNTIF(Y12:AD12,"Beda")</f>
        <v>0</v>
      </c>
      <c r="AF12" s="14"/>
      <c r="AG12" s="14"/>
      <c r="AH12" s="14"/>
      <c r="AI12" s="14"/>
      <c r="AJ12" s="14"/>
      <c r="AK12" s="14"/>
      <c r="AL12" s="15" t="str">
        <f aca="false">IF(AF12&lt;&gt;"",AF12,IF(AND(M12&lt;&gt;"",M12=S12),M12,""))</f>
        <v/>
      </c>
      <c r="AM12" s="15" t="str">
        <f aca="false">IF(AG12&lt;&gt;"",AG12,IF(AND(N12&lt;&gt;"",N12=T12),N12,""))</f>
        <v/>
      </c>
      <c r="AN12" s="15" t="str">
        <f aca="false">IF(AH12&lt;&gt;"",AH12,IF(AND(O12&lt;&gt;"",O12=U12),O12,""))</f>
        <v/>
      </c>
      <c r="AO12" s="15" t="str">
        <f aca="false">IF(AI12&lt;&gt;"",AI12,IF(AND(P12&lt;&gt;"",P12=V12),P12,""))</f>
        <v/>
      </c>
      <c r="AP12" s="15" t="str">
        <f aca="false">IF(AJ12&lt;&gt;"",AJ12,IF(AND(Q12&lt;&gt;"",Q12=W12),Q12,""))</f>
        <v/>
      </c>
      <c r="AQ12" s="15" t="str">
        <f aca="false">IF(AK12&lt;&gt;"",AK12,IF(AND(R12&lt;&gt;"",R12=X12),R12,""))</f>
        <v/>
      </c>
      <c r="AR12" s="16"/>
      <c r="AS12" s="9" t="str">
        <f aca="false">IF(COUNTA(M12:R12)+COUNTA(S12:X12)&lt;12,"Menunggu coder",IF(AE12=0,"Sepakat",IF(SUMPRODUCT((Y12:AD12="Beda")*(AF12:AK12=""))=0,"Selesai adjudikasi","Perlu adjudikasi")))</f>
        <v>Menunggu coder</v>
      </c>
      <c r="AT12" s="10" t="str">
        <f aca="false">IF(COUNTIF(AL12:AQ12,"?*")&lt;6,"",IF(IF(AND(AM12="R0",AQ12&lt;&gt;"K5"),"R0 harus K5; ","")&amp;IF(AND(AM12="R1",AQ12="K3"),"R1 tidak boleh K3 (fungsional); ","")&amp;IF(AND(AM12="R2",AQ12="K5"),"R2 tidak boleh K5; ","")&amp;IF(AND(AM12="R2",OR(AL12="S6",AL12="S7",AL12="S8")),"R2 tidak boleh S6/S7/S8; ","")&amp;IF(AND(AO12="P9",AN12&lt;&gt;"T17"),"P9 hanya dengan T17; ","")&amp;IF(AND(OR(AN12="T17",AO12="P9"),AM12&lt;&gt;"R0"),"T17/P9 harus R0; ","")&amp;IF(AND(AN12="T01",AO12&lt;&gt;"P6"),"T01 biasanya P6 (periksa); ","")&amp;IF(AND(AO12="P1",AQ12&lt;&gt;"K4"),"P1 biasanya K4 (periksa); ","")="","OK",IF(AND(AM12="R0",AQ12&lt;&gt;"K5"),"R0 harus K5; ","")&amp;IF(AND(AM12="R1",AQ12="K3"),"R1 tidak boleh K3 (fungsional); ","")&amp;IF(AND(AM12="R2",AQ12="K5"),"R2 tidak boleh K5; ","")&amp;IF(AND(AM12="R2",OR(AL12="S6",AL12="S7",AL12="S8")),"R2 tidak boleh S6/S7/S8; ","")&amp;IF(AND(AO12="P9",AN12&lt;&gt;"T17"),"P9 hanya dengan T17; ","")&amp;IF(AND(OR(AN12="T17",AO12="P9"),AM12&lt;&gt;"R0"),"T17/P9 harus R0; ","")&amp;IF(AND(AN12="T01",AO12&lt;&gt;"P6"),"T01 biasanya P6 (periksa); ","")&amp;IF(AND(AO12="P1",AQ12&lt;&gt;"K4"),"P1 biasanya K4 (periksa); ","")))</f>
        <v/>
      </c>
    </row>
    <row r="13" customFormat="false" ht="48" hidden="false" customHeight="true" outlineLevel="0" collapsed="false">
      <c r="A13" s="9" t="n">
        <v>10</v>
      </c>
      <c r="B13" s="10" t="str">
        <f aca="false">IF(INDEX(Korpus!$A:$A,$A13)="","",INDEX(Korpus!$A:$A,$A13))</f>
        <v/>
      </c>
      <c r="C13" s="10" t="str">
        <f aca="false">TRIM(INDEX(Korpus!$D:$D,$A13)&amp;" "&amp;INDEX(Korpus!$E:$E,$A13))</f>
        <v/>
      </c>
      <c r="D13" s="10" t="str">
        <f aca="false">IF(INDEX(Korpus!$B:$B,$A13)="","",INDEX(Korpus!$B:$B,$A13))</f>
        <v/>
      </c>
      <c r="E13" s="10" t="str">
        <f aca="false">IF(INDEX(Korpus!$C:$C,$A13)="","",INDEX(Korpus!$C:$C,$A13))</f>
        <v/>
      </c>
      <c r="F13" s="10" t="str">
        <f aca="false">IF(INDEX(Korpus!$F:$F,$A13)="","",INDEX(Korpus!$F:$F,$A13))</f>
        <v/>
      </c>
      <c r="G13" s="11"/>
      <c r="H13" s="11"/>
      <c r="I13" s="11"/>
      <c r="J13" s="11"/>
      <c r="K13" s="11"/>
      <c r="L13" s="11"/>
      <c r="M13" s="12"/>
      <c r="N13" s="12"/>
      <c r="O13" s="12"/>
      <c r="P13" s="12"/>
      <c r="Q13" s="12"/>
      <c r="R13" s="12"/>
      <c r="S13" s="13"/>
      <c r="T13" s="13"/>
      <c r="U13" s="13"/>
      <c r="V13" s="13"/>
      <c r="W13" s="13"/>
      <c r="X13" s="13"/>
      <c r="Y13" s="9" t="str">
        <f aca="false">IF(OR(M13="",S13=""),"",IF(M13=S13,"Sama","Beda"))</f>
        <v/>
      </c>
      <c r="Z13" s="9" t="str">
        <f aca="false">IF(OR(N13="",T13=""),"",IF(N13=T13,"Sama","Beda"))</f>
        <v/>
      </c>
      <c r="AA13" s="9" t="str">
        <f aca="false">IF(OR(O13="",U13=""),"",IF(O13=U13,"Sama","Beda"))</f>
        <v/>
      </c>
      <c r="AB13" s="9" t="str">
        <f aca="false">IF(OR(P13="",V13=""),"",IF(P13=V13,"Sama","Beda"))</f>
        <v/>
      </c>
      <c r="AC13" s="9" t="str">
        <f aca="false">IF(OR(Q13="",W13=""),"",IF(Q13=W13,"Sama","Beda"))</f>
        <v/>
      </c>
      <c r="AD13" s="9" t="str">
        <f aca="false">IF(OR(R13="",X13=""),"",IF(R13=X13,"Sama","Beda"))</f>
        <v/>
      </c>
      <c r="AE13" s="9" t="n">
        <f aca="false">COUNTIF(Y13:AD13,"Beda")</f>
        <v>0</v>
      </c>
      <c r="AF13" s="14"/>
      <c r="AG13" s="14"/>
      <c r="AH13" s="14"/>
      <c r="AI13" s="14"/>
      <c r="AJ13" s="14"/>
      <c r="AK13" s="14"/>
      <c r="AL13" s="15" t="str">
        <f aca="false">IF(AF13&lt;&gt;"",AF13,IF(AND(M13&lt;&gt;"",M13=S13),M13,""))</f>
        <v/>
      </c>
      <c r="AM13" s="15" t="str">
        <f aca="false">IF(AG13&lt;&gt;"",AG13,IF(AND(N13&lt;&gt;"",N13=T13),N13,""))</f>
        <v/>
      </c>
      <c r="AN13" s="15" t="str">
        <f aca="false">IF(AH13&lt;&gt;"",AH13,IF(AND(O13&lt;&gt;"",O13=U13),O13,""))</f>
        <v/>
      </c>
      <c r="AO13" s="15" t="str">
        <f aca="false">IF(AI13&lt;&gt;"",AI13,IF(AND(P13&lt;&gt;"",P13=V13),P13,""))</f>
        <v/>
      </c>
      <c r="AP13" s="15" t="str">
        <f aca="false">IF(AJ13&lt;&gt;"",AJ13,IF(AND(Q13&lt;&gt;"",Q13=W13),Q13,""))</f>
        <v/>
      </c>
      <c r="AQ13" s="15" t="str">
        <f aca="false">IF(AK13&lt;&gt;"",AK13,IF(AND(R13&lt;&gt;"",R13=X13),R13,""))</f>
        <v/>
      </c>
      <c r="AR13" s="16"/>
      <c r="AS13" s="9" t="str">
        <f aca="false">IF(COUNTA(M13:R13)+COUNTA(S13:X13)&lt;12,"Menunggu coder",IF(AE13=0,"Sepakat",IF(SUMPRODUCT((Y13:AD13="Beda")*(AF13:AK13=""))=0,"Selesai adjudikasi","Perlu adjudikasi")))</f>
        <v>Menunggu coder</v>
      </c>
      <c r="AT13" s="10" t="str">
        <f aca="false">IF(COUNTIF(AL13:AQ13,"?*")&lt;6,"",IF(IF(AND(AM13="R0",AQ13&lt;&gt;"K5"),"R0 harus K5; ","")&amp;IF(AND(AM13="R1",AQ13="K3"),"R1 tidak boleh K3 (fungsional); ","")&amp;IF(AND(AM13="R2",AQ13="K5"),"R2 tidak boleh K5; ","")&amp;IF(AND(AM13="R2",OR(AL13="S6",AL13="S7",AL13="S8")),"R2 tidak boleh S6/S7/S8; ","")&amp;IF(AND(AO13="P9",AN13&lt;&gt;"T17"),"P9 hanya dengan T17; ","")&amp;IF(AND(OR(AN13="T17",AO13="P9"),AM13&lt;&gt;"R0"),"T17/P9 harus R0; ","")&amp;IF(AND(AN13="T01",AO13&lt;&gt;"P6"),"T01 biasanya P6 (periksa); ","")&amp;IF(AND(AO13="P1",AQ13&lt;&gt;"K4"),"P1 biasanya K4 (periksa); ","")="","OK",IF(AND(AM13="R0",AQ13&lt;&gt;"K5"),"R0 harus K5; ","")&amp;IF(AND(AM13="R1",AQ13="K3"),"R1 tidak boleh K3 (fungsional); ","")&amp;IF(AND(AM13="R2",AQ13="K5"),"R2 tidak boleh K5; ","")&amp;IF(AND(AM13="R2",OR(AL13="S6",AL13="S7",AL13="S8")),"R2 tidak boleh S6/S7/S8; ","")&amp;IF(AND(AO13="P9",AN13&lt;&gt;"T17"),"P9 hanya dengan T17; ","")&amp;IF(AND(OR(AN13="T17",AO13="P9"),AM13&lt;&gt;"R0"),"T17/P9 harus R0; ","")&amp;IF(AND(AN13="T01",AO13&lt;&gt;"P6"),"T01 biasanya P6 (periksa); ","")&amp;IF(AND(AO13="P1",AQ13&lt;&gt;"K4"),"P1 biasanya K4 (periksa); ","")))</f>
        <v/>
      </c>
    </row>
    <row r="14" customFormat="false" ht="48" hidden="false" customHeight="true" outlineLevel="0" collapsed="false">
      <c r="A14" s="9" t="n">
        <v>11</v>
      </c>
      <c r="B14" s="10" t="str">
        <f aca="false">IF(INDEX(Korpus!$A:$A,$A14)="","",INDEX(Korpus!$A:$A,$A14))</f>
        <v/>
      </c>
      <c r="C14" s="10" t="str">
        <f aca="false">TRIM(INDEX(Korpus!$D:$D,$A14)&amp;" "&amp;INDEX(Korpus!$E:$E,$A14))</f>
        <v/>
      </c>
      <c r="D14" s="10" t="str">
        <f aca="false">IF(INDEX(Korpus!$B:$B,$A14)="","",INDEX(Korpus!$B:$B,$A14))</f>
        <v/>
      </c>
      <c r="E14" s="10" t="str">
        <f aca="false">IF(INDEX(Korpus!$C:$C,$A14)="","",INDEX(Korpus!$C:$C,$A14))</f>
        <v/>
      </c>
      <c r="F14" s="10" t="str">
        <f aca="false">IF(INDEX(Korpus!$F:$F,$A14)="","",INDEX(Korpus!$F:$F,$A14))</f>
        <v/>
      </c>
      <c r="G14" s="11"/>
      <c r="H14" s="11"/>
      <c r="I14" s="11"/>
      <c r="J14" s="11"/>
      <c r="K14" s="11"/>
      <c r="L14" s="11"/>
      <c r="M14" s="12"/>
      <c r="N14" s="12"/>
      <c r="O14" s="12"/>
      <c r="P14" s="12"/>
      <c r="Q14" s="12"/>
      <c r="R14" s="12"/>
      <c r="S14" s="13"/>
      <c r="T14" s="13"/>
      <c r="U14" s="13"/>
      <c r="V14" s="13"/>
      <c r="W14" s="13"/>
      <c r="X14" s="13"/>
      <c r="Y14" s="9" t="str">
        <f aca="false">IF(OR(M14="",S14=""),"",IF(M14=S14,"Sama","Beda"))</f>
        <v/>
      </c>
      <c r="Z14" s="9" t="str">
        <f aca="false">IF(OR(N14="",T14=""),"",IF(N14=T14,"Sama","Beda"))</f>
        <v/>
      </c>
      <c r="AA14" s="9" t="str">
        <f aca="false">IF(OR(O14="",U14=""),"",IF(O14=U14,"Sama","Beda"))</f>
        <v/>
      </c>
      <c r="AB14" s="9" t="str">
        <f aca="false">IF(OR(P14="",V14=""),"",IF(P14=V14,"Sama","Beda"))</f>
        <v/>
      </c>
      <c r="AC14" s="9" t="str">
        <f aca="false">IF(OR(Q14="",W14=""),"",IF(Q14=W14,"Sama","Beda"))</f>
        <v/>
      </c>
      <c r="AD14" s="9" t="str">
        <f aca="false">IF(OR(R14="",X14=""),"",IF(R14=X14,"Sama","Beda"))</f>
        <v/>
      </c>
      <c r="AE14" s="9" t="n">
        <f aca="false">COUNTIF(Y14:AD14,"Beda")</f>
        <v>0</v>
      </c>
      <c r="AF14" s="14"/>
      <c r="AG14" s="14"/>
      <c r="AH14" s="14"/>
      <c r="AI14" s="14"/>
      <c r="AJ14" s="14"/>
      <c r="AK14" s="14"/>
      <c r="AL14" s="15" t="str">
        <f aca="false">IF(AF14&lt;&gt;"",AF14,IF(AND(M14&lt;&gt;"",M14=S14),M14,""))</f>
        <v/>
      </c>
      <c r="AM14" s="15" t="str">
        <f aca="false">IF(AG14&lt;&gt;"",AG14,IF(AND(N14&lt;&gt;"",N14=T14),N14,""))</f>
        <v/>
      </c>
      <c r="AN14" s="15" t="str">
        <f aca="false">IF(AH14&lt;&gt;"",AH14,IF(AND(O14&lt;&gt;"",O14=U14),O14,""))</f>
        <v/>
      </c>
      <c r="AO14" s="15" t="str">
        <f aca="false">IF(AI14&lt;&gt;"",AI14,IF(AND(P14&lt;&gt;"",P14=V14),P14,""))</f>
        <v/>
      </c>
      <c r="AP14" s="15" t="str">
        <f aca="false">IF(AJ14&lt;&gt;"",AJ14,IF(AND(Q14&lt;&gt;"",Q14=W14),Q14,""))</f>
        <v/>
      </c>
      <c r="AQ14" s="15" t="str">
        <f aca="false">IF(AK14&lt;&gt;"",AK14,IF(AND(R14&lt;&gt;"",R14=X14),R14,""))</f>
        <v/>
      </c>
      <c r="AR14" s="16"/>
      <c r="AS14" s="9" t="str">
        <f aca="false">IF(COUNTA(M14:R14)+COUNTA(S14:X14)&lt;12,"Menunggu coder",IF(AE14=0,"Sepakat",IF(SUMPRODUCT((Y14:AD14="Beda")*(AF14:AK14=""))=0,"Selesai adjudikasi","Perlu adjudikasi")))</f>
        <v>Menunggu coder</v>
      </c>
      <c r="AT14" s="10" t="str">
        <f aca="false">IF(COUNTIF(AL14:AQ14,"?*")&lt;6,"",IF(IF(AND(AM14="R0",AQ14&lt;&gt;"K5"),"R0 harus K5; ","")&amp;IF(AND(AM14="R1",AQ14="K3"),"R1 tidak boleh K3 (fungsional); ","")&amp;IF(AND(AM14="R2",AQ14="K5"),"R2 tidak boleh K5; ","")&amp;IF(AND(AM14="R2",OR(AL14="S6",AL14="S7",AL14="S8")),"R2 tidak boleh S6/S7/S8; ","")&amp;IF(AND(AO14="P9",AN14&lt;&gt;"T17"),"P9 hanya dengan T17; ","")&amp;IF(AND(OR(AN14="T17",AO14="P9"),AM14&lt;&gt;"R0"),"T17/P9 harus R0; ","")&amp;IF(AND(AN14="T01",AO14&lt;&gt;"P6"),"T01 biasanya P6 (periksa); ","")&amp;IF(AND(AO14="P1",AQ14&lt;&gt;"K4"),"P1 biasanya K4 (periksa); ","")="","OK",IF(AND(AM14="R0",AQ14&lt;&gt;"K5"),"R0 harus K5; ","")&amp;IF(AND(AM14="R1",AQ14="K3"),"R1 tidak boleh K3 (fungsional); ","")&amp;IF(AND(AM14="R2",AQ14="K5"),"R2 tidak boleh K5; ","")&amp;IF(AND(AM14="R2",OR(AL14="S6",AL14="S7",AL14="S8")),"R2 tidak boleh S6/S7/S8; ","")&amp;IF(AND(AO14="P9",AN14&lt;&gt;"T17"),"P9 hanya dengan T17; ","")&amp;IF(AND(OR(AN14="T17",AO14="P9"),AM14&lt;&gt;"R0"),"T17/P9 harus R0; ","")&amp;IF(AND(AN14="T01",AO14&lt;&gt;"P6"),"T01 biasanya P6 (periksa); ","")&amp;IF(AND(AO14="P1",AQ14&lt;&gt;"K4"),"P1 biasanya K4 (periksa); ","")))</f>
        <v/>
      </c>
    </row>
    <row r="15" customFormat="false" ht="48" hidden="false" customHeight="true" outlineLevel="0" collapsed="false">
      <c r="A15" s="9" t="n">
        <v>12</v>
      </c>
      <c r="B15" s="10" t="str">
        <f aca="false">IF(INDEX(Korpus!$A:$A,$A15)="","",INDEX(Korpus!$A:$A,$A15))</f>
        <v/>
      </c>
      <c r="C15" s="10" t="str">
        <f aca="false">TRIM(INDEX(Korpus!$D:$D,$A15)&amp;" "&amp;INDEX(Korpus!$E:$E,$A15))</f>
        <v/>
      </c>
      <c r="D15" s="10" t="str">
        <f aca="false">IF(INDEX(Korpus!$B:$B,$A15)="","",INDEX(Korpus!$B:$B,$A15))</f>
        <v/>
      </c>
      <c r="E15" s="10" t="str">
        <f aca="false">IF(INDEX(Korpus!$C:$C,$A15)="","",INDEX(Korpus!$C:$C,$A15))</f>
        <v/>
      </c>
      <c r="F15" s="10" t="str">
        <f aca="false">IF(INDEX(Korpus!$F:$F,$A15)="","",INDEX(Korpus!$F:$F,$A15))</f>
        <v/>
      </c>
      <c r="G15" s="11"/>
      <c r="H15" s="11"/>
      <c r="I15" s="11"/>
      <c r="J15" s="11"/>
      <c r="K15" s="11"/>
      <c r="L15" s="11"/>
      <c r="M15" s="12"/>
      <c r="N15" s="12"/>
      <c r="O15" s="12"/>
      <c r="P15" s="12"/>
      <c r="Q15" s="12"/>
      <c r="R15" s="12"/>
      <c r="S15" s="13"/>
      <c r="T15" s="13"/>
      <c r="U15" s="13"/>
      <c r="V15" s="13"/>
      <c r="W15" s="13"/>
      <c r="X15" s="13"/>
      <c r="Y15" s="9" t="str">
        <f aca="false">IF(OR(M15="",S15=""),"",IF(M15=S15,"Sama","Beda"))</f>
        <v/>
      </c>
      <c r="Z15" s="9" t="str">
        <f aca="false">IF(OR(N15="",T15=""),"",IF(N15=T15,"Sama","Beda"))</f>
        <v/>
      </c>
      <c r="AA15" s="9" t="str">
        <f aca="false">IF(OR(O15="",U15=""),"",IF(O15=U15,"Sama","Beda"))</f>
        <v/>
      </c>
      <c r="AB15" s="9" t="str">
        <f aca="false">IF(OR(P15="",V15=""),"",IF(P15=V15,"Sama","Beda"))</f>
        <v/>
      </c>
      <c r="AC15" s="9" t="str">
        <f aca="false">IF(OR(Q15="",W15=""),"",IF(Q15=W15,"Sama","Beda"))</f>
        <v/>
      </c>
      <c r="AD15" s="9" t="str">
        <f aca="false">IF(OR(R15="",X15=""),"",IF(R15=X15,"Sama","Beda"))</f>
        <v/>
      </c>
      <c r="AE15" s="9" t="n">
        <f aca="false">COUNTIF(Y15:AD15,"Beda")</f>
        <v>0</v>
      </c>
      <c r="AF15" s="14"/>
      <c r="AG15" s="14"/>
      <c r="AH15" s="14"/>
      <c r="AI15" s="14"/>
      <c r="AJ15" s="14"/>
      <c r="AK15" s="14"/>
      <c r="AL15" s="15" t="str">
        <f aca="false">IF(AF15&lt;&gt;"",AF15,IF(AND(M15&lt;&gt;"",M15=S15),M15,""))</f>
        <v/>
      </c>
      <c r="AM15" s="15" t="str">
        <f aca="false">IF(AG15&lt;&gt;"",AG15,IF(AND(N15&lt;&gt;"",N15=T15),N15,""))</f>
        <v/>
      </c>
      <c r="AN15" s="15" t="str">
        <f aca="false">IF(AH15&lt;&gt;"",AH15,IF(AND(O15&lt;&gt;"",O15=U15),O15,""))</f>
        <v/>
      </c>
      <c r="AO15" s="15" t="str">
        <f aca="false">IF(AI15&lt;&gt;"",AI15,IF(AND(P15&lt;&gt;"",P15=V15),P15,""))</f>
        <v/>
      </c>
      <c r="AP15" s="15" t="str">
        <f aca="false">IF(AJ15&lt;&gt;"",AJ15,IF(AND(Q15&lt;&gt;"",Q15=W15),Q15,""))</f>
        <v/>
      </c>
      <c r="AQ15" s="15" t="str">
        <f aca="false">IF(AK15&lt;&gt;"",AK15,IF(AND(R15&lt;&gt;"",R15=X15),R15,""))</f>
        <v/>
      </c>
      <c r="AR15" s="16"/>
      <c r="AS15" s="9" t="str">
        <f aca="false">IF(COUNTA(M15:R15)+COUNTA(S15:X15)&lt;12,"Menunggu coder",IF(AE15=0,"Sepakat",IF(SUMPRODUCT((Y15:AD15="Beda")*(AF15:AK15=""))=0,"Selesai adjudikasi","Perlu adjudikasi")))</f>
        <v>Menunggu coder</v>
      </c>
      <c r="AT15" s="10" t="str">
        <f aca="false">IF(COUNTIF(AL15:AQ15,"?*")&lt;6,"",IF(IF(AND(AM15="R0",AQ15&lt;&gt;"K5"),"R0 harus K5; ","")&amp;IF(AND(AM15="R1",AQ15="K3"),"R1 tidak boleh K3 (fungsional); ","")&amp;IF(AND(AM15="R2",AQ15="K5"),"R2 tidak boleh K5; ","")&amp;IF(AND(AM15="R2",OR(AL15="S6",AL15="S7",AL15="S8")),"R2 tidak boleh S6/S7/S8; ","")&amp;IF(AND(AO15="P9",AN15&lt;&gt;"T17"),"P9 hanya dengan T17; ","")&amp;IF(AND(OR(AN15="T17",AO15="P9"),AM15&lt;&gt;"R0"),"T17/P9 harus R0; ","")&amp;IF(AND(AN15="T01",AO15&lt;&gt;"P6"),"T01 biasanya P6 (periksa); ","")&amp;IF(AND(AO15="P1",AQ15&lt;&gt;"K4"),"P1 biasanya K4 (periksa); ","")="","OK",IF(AND(AM15="R0",AQ15&lt;&gt;"K5"),"R0 harus K5; ","")&amp;IF(AND(AM15="R1",AQ15="K3"),"R1 tidak boleh K3 (fungsional); ","")&amp;IF(AND(AM15="R2",AQ15="K5"),"R2 tidak boleh K5; ","")&amp;IF(AND(AM15="R2",OR(AL15="S6",AL15="S7",AL15="S8")),"R2 tidak boleh S6/S7/S8; ","")&amp;IF(AND(AO15="P9",AN15&lt;&gt;"T17"),"P9 hanya dengan T17; ","")&amp;IF(AND(OR(AN15="T17",AO15="P9"),AM15&lt;&gt;"R0"),"T17/P9 harus R0; ","")&amp;IF(AND(AN15="T01",AO15&lt;&gt;"P6"),"T01 biasanya P6 (periksa); ","")&amp;IF(AND(AO15="P1",AQ15&lt;&gt;"K4"),"P1 biasanya K4 (periksa); ","")))</f>
        <v/>
      </c>
    </row>
    <row r="16" customFormat="false" ht="48" hidden="false" customHeight="true" outlineLevel="0" collapsed="false">
      <c r="A16" s="9" t="n">
        <v>13</v>
      </c>
      <c r="B16" s="10" t="str">
        <f aca="false">IF(INDEX(Korpus!$A:$A,$A16)="","",INDEX(Korpus!$A:$A,$A16))</f>
        <v/>
      </c>
      <c r="C16" s="10" t="str">
        <f aca="false">TRIM(INDEX(Korpus!$D:$D,$A16)&amp;" "&amp;INDEX(Korpus!$E:$E,$A16))</f>
        <v/>
      </c>
      <c r="D16" s="10" t="str">
        <f aca="false">IF(INDEX(Korpus!$B:$B,$A16)="","",INDEX(Korpus!$B:$B,$A16))</f>
        <v/>
      </c>
      <c r="E16" s="10" t="str">
        <f aca="false">IF(INDEX(Korpus!$C:$C,$A16)="","",INDEX(Korpus!$C:$C,$A16))</f>
        <v/>
      </c>
      <c r="F16" s="10" t="str">
        <f aca="false">IF(INDEX(Korpus!$F:$F,$A16)="","",INDEX(Korpus!$F:$F,$A16))</f>
        <v/>
      </c>
      <c r="G16" s="11"/>
      <c r="H16" s="11"/>
      <c r="I16" s="11"/>
      <c r="J16" s="11"/>
      <c r="K16" s="11"/>
      <c r="L16" s="11"/>
      <c r="M16" s="12"/>
      <c r="N16" s="12"/>
      <c r="O16" s="12"/>
      <c r="P16" s="12"/>
      <c r="Q16" s="12"/>
      <c r="R16" s="12"/>
      <c r="S16" s="13"/>
      <c r="T16" s="13"/>
      <c r="U16" s="13"/>
      <c r="V16" s="13"/>
      <c r="W16" s="13"/>
      <c r="X16" s="13"/>
      <c r="Y16" s="9" t="str">
        <f aca="false">IF(OR(M16="",S16=""),"",IF(M16=S16,"Sama","Beda"))</f>
        <v/>
      </c>
      <c r="Z16" s="9" t="str">
        <f aca="false">IF(OR(N16="",T16=""),"",IF(N16=T16,"Sama","Beda"))</f>
        <v/>
      </c>
      <c r="AA16" s="9" t="str">
        <f aca="false">IF(OR(O16="",U16=""),"",IF(O16=U16,"Sama","Beda"))</f>
        <v/>
      </c>
      <c r="AB16" s="9" t="str">
        <f aca="false">IF(OR(P16="",V16=""),"",IF(P16=V16,"Sama","Beda"))</f>
        <v/>
      </c>
      <c r="AC16" s="9" t="str">
        <f aca="false">IF(OR(Q16="",W16=""),"",IF(Q16=W16,"Sama","Beda"))</f>
        <v/>
      </c>
      <c r="AD16" s="9" t="str">
        <f aca="false">IF(OR(R16="",X16=""),"",IF(R16=X16,"Sama","Beda"))</f>
        <v/>
      </c>
      <c r="AE16" s="9" t="n">
        <f aca="false">COUNTIF(Y16:AD16,"Beda")</f>
        <v>0</v>
      </c>
      <c r="AF16" s="14"/>
      <c r="AG16" s="14"/>
      <c r="AH16" s="14"/>
      <c r="AI16" s="14"/>
      <c r="AJ16" s="14"/>
      <c r="AK16" s="14"/>
      <c r="AL16" s="15" t="str">
        <f aca="false">IF(AF16&lt;&gt;"",AF16,IF(AND(M16&lt;&gt;"",M16=S16),M16,""))</f>
        <v/>
      </c>
      <c r="AM16" s="15" t="str">
        <f aca="false">IF(AG16&lt;&gt;"",AG16,IF(AND(N16&lt;&gt;"",N16=T16),N16,""))</f>
        <v/>
      </c>
      <c r="AN16" s="15" t="str">
        <f aca="false">IF(AH16&lt;&gt;"",AH16,IF(AND(O16&lt;&gt;"",O16=U16),O16,""))</f>
        <v/>
      </c>
      <c r="AO16" s="15" t="str">
        <f aca="false">IF(AI16&lt;&gt;"",AI16,IF(AND(P16&lt;&gt;"",P16=V16),P16,""))</f>
        <v/>
      </c>
      <c r="AP16" s="15" t="str">
        <f aca="false">IF(AJ16&lt;&gt;"",AJ16,IF(AND(Q16&lt;&gt;"",Q16=W16),Q16,""))</f>
        <v/>
      </c>
      <c r="AQ16" s="15" t="str">
        <f aca="false">IF(AK16&lt;&gt;"",AK16,IF(AND(R16&lt;&gt;"",R16=X16),R16,""))</f>
        <v/>
      </c>
      <c r="AR16" s="16"/>
      <c r="AS16" s="9" t="str">
        <f aca="false">IF(COUNTA(M16:R16)+COUNTA(S16:X16)&lt;12,"Menunggu coder",IF(AE16=0,"Sepakat",IF(SUMPRODUCT((Y16:AD16="Beda")*(AF16:AK16=""))=0,"Selesai adjudikasi","Perlu adjudikasi")))</f>
        <v>Menunggu coder</v>
      </c>
      <c r="AT16" s="10" t="str">
        <f aca="false">IF(COUNTIF(AL16:AQ16,"?*")&lt;6,"",IF(IF(AND(AM16="R0",AQ16&lt;&gt;"K5"),"R0 harus K5; ","")&amp;IF(AND(AM16="R1",AQ16="K3"),"R1 tidak boleh K3 (fungsional); ","")&amp;IF(AND(AM16="R2",AQ16="K5"),"R2 tidak boleh K5; ","")&amp;IF(AND(AM16="R2",OR(AL16="S6",AL16="S7",AL16="S8")),"R2 tidak boleh S6/S7/S8; ","")&amp;IF(AND(AO16="P9",AN16&lt;&gt;"T17"),"P9 hanya dengan T17; ","")&amp;IF(AND(OR(AN16="T17",AO16="P9"),AM16&lt;&gt;"R0"),"T17/P9 harus R0; ","")&amp;IF(AND(AN16="T01",AO16&lt;&gt;"P6"),"T01 biasanya P6 (periksa); ","")&amp;IF(AND(AO16="P1",AQ16&lt;&gt;"K4"),"P1 biasanya K4 (periksa); ","")="","OK",IF(AND(AM16="R0",AQ16&lt;&gt;"K5"),"R0 harus K5; ","")&amp;IF(AND(AM16="R1",AQ16="K3"),"R1 tidak boleh K3 (fungsional); ","")&amp;IF(AND(AM16="R2",AQ16="K5"),"R2 tidak boleh K5; ","")&amp;IF(AND(AM16="R2",OR(AL16="S6",AL16="S7",AL16="S8")),"R2 tidak boleh S6/S7/S8; ","")&amp;IF(AND(AO16="P9",AN16&lt;&gt;"T17"),"P9 hanya dengan T17; ","")&amp;IF(AND(OR(AN16="T17",AO16="P9"),AM16&lt;&gt;"R0"),"T17/P9 harus R0; ","")&amp;IF(AND(AN16="T01",AO16&lt;&gt;"P6"),"T01 biasanya P6 (periksa); ","")&amp;IF(AND(AO16="P1",AQ16&lt;&gt;"K4"),"P1 biasanya K4 (periksa); ","")))</f>
        <v/>
      </c>
    </row>
    <row r="17" customFormat="false" ht="48" hidden="false" customHeight="true" outlineLevel="0" collapsed="false">
      <c r="A17" s="9" t="n">
        <v>14</v>
      </c>
      <c r="B17" s="10" t="str">
        <f aca="false">IF(INDEX(Korpus!$A:$A,$A17)="","",INDEX(Korpus!$A:$A,$A17))</f>
        <v/>
      </c>
      <c r="C17" s="10" t="str">
        <f aca="false">TRIM(INDEX(Korpus!$D:$D,$A17)&amp;" "&amp;INDEX(Korpus!$E:$E,$A17))</f>
        <v/>
      </c>
      <c r="D17" s="10" t="str">
        <f aca="false">IF(INDEX(Korpus!$B:$B,$A17)="","",INDEX(Korpus!$B:$B,$A17))</f>
        <v/>
      </c>
      <c r="E17" s="10" t="str">
        <f aca="false">IF(INDEX(Korpus!$C:$C,$A17)="","",INDEX(Korpus!$C:$C,$A17))</f>
        <v/>
      </c>
      <c r="F17" s="10" t="str">
        <f aca="false">IF(INDEX(Korpus!$F:$F,$A17)="","",INDEX(Korpus!$F:$F,$A17))</f>
        <v/>
      </c>
      <c r="G17" s="11"/>
      <c r="H17" s="11"/>
      <c r="I17" s="11"/>
      <c r="J17" s="11"/>
      <c r="K17" s="11"/>
      <c r="L17" s="11"/>
      <c r="M17" s="12"/>
      <c r="N17" s="12"/>
      <c r="O17" s="12"/>
      <c r="P17" s="12"/>
      <c r="Q17" s="12"/>
      <c r="R17" s="12"/>
      <c r="S17" s="13"/>
      <c r="T17" s="13"/>
      <c r="U17" s="13"/>
      <c r="V17" s="13"/>
      <c r="W17" s="13"/>
      <c r="X17" s="13"/>
      <c r="Y17" s="9" t="str">
        <f aca="false">IF(OR(M17="",S17=""),"",IF(M17=S17,"Sama","Beda"))</f>
        <v/>
      </c>
      <c r="Z17" s="9" t="str">
        <f aca="false">IF(OR(N17="",T17=""),"",IF(N17=T17,"Sama","Beda"))</f>
        <v/>
      </c>
      <c r="AA17" s="9" t="str">
        <f aca="false">IF(OR(O17="",U17=""),"",IF(O17=U17,"Sama","Beda"))</f>
        <v/>
      </c>
      <c r="AB17" s="9" t="str">
        <f aca="false">IF(OR(P17="",V17=""),"",IF(P17=V17,"Sama","Beda"))</f>
        <v/>
      </c>
      <c r="AC17" s="9" t="str">
        <f aca="false">IF(OR(Q17="",W17=""),"",IF(Q17=W17,"Sama","Beda"))</f>
        <v/>
      </c>
      <c r="AD17" s="9" t="str">
        <f aca="false">IF(OR(R17="",X17=""),"",IF(R17=X17,"Sama","Beda"))</f>
        <v/>
      </c>
      <c r="AE17" s="9" t="n">
        <f aca="false">COUNTIF(Y17:AD17,"Beda")</f>
        <v>0</v>
      </c>
      <c r="AF17" s="14"/>
      <c r="AG17" s="14"/>
      <c r="AH17" s="14"/>
      <c r="AI17" s="14"/>
      <c r="AJ17" s="14"/>
      <c r="AK17" s="14"/>
      <c r="AL17" s="15" t="str">
        <f aca="false">IF(AF17&lt;&gt;"",AF17,IF(AND(M17&lt;&gt;"",M17=S17),M17,""))</f>
        <v/>
      </c>
      <c r="AM17" s="15" t="str">
        <f aca="false">IF(AG17&lt;&gt;"",AG17,IF(AND(N17&lt;&gt;"",N17=T17),N17,""))</f>
        <v/>
      </c>
      <c r="AN17" s="15" t="str">
        <f aca="false">IF(AH17&lt;&gt;"",AH17,IF(AND(O17&lt;&gt;"",O17=U17),O17,""))</f>
        <v/>
      </c>
      <c r="AO17" s="15" t="str">
        <f aca="false">IF(AI17&lt;&gt;"",AI17,IF(AND(P17&lt;&gt;"",P17=V17),P17,""))</f>
        <v/>
      </c>
      <c r="AP17" s="15" t="str">
        <f aca="false">IF(AJ17&lt;&gt;"",AJ17,IF(AND(Q17&lt;&gt;"",Q17=W17),Q17,""))</f>
        <v/>
      </c>
      <c r="AQ17" s="15" t="str">
        <f aca="false">IF(AK17&lt;&gt;"",AK17,IF(AND(R17&lt;&gt;"",R17=X17),R17,""))</f>
        <v/>
      </c>
      <c r="AR17" s="16"/>
      <c r="AS17" s="9" t="str">
        <f aca="false">IF(COUNTA(M17:R17)+COUNTA(S17:X17)&lt;12,"Menunggu coder",IF(AE17=0,"Sepakat",IF(SUMPRODUCT((Y17:AD17="Beda")*(AF17:AK17=""))=0,"Selesai adjudikasi","Perlu adjudikasi")))</f>
        <v>Menunggu coder</v>
      </c>
      <c r="AT17" s="10" t="str">
        <f aca="false">IF(COUNTIF(AL17:AQ17,"?*")&lt;6,"",IF(IF(AND(AM17="R0",AQ17&lt;&gt;"K5"),"R0 harus K5; ","")&amp;IF(AND(AM17="R1",AQ17="K3"),"R1 tidak boleh K3 (fungsional); ","")&amp;IF(AND(AM17="R2",AQ17="K5"),"R2 tidak boleh K5; ","")&amp;IF(AND(AM17="R2",OR(AL17="S6",AL17="S7",AL17="S8")),"R2 tidak boleh S6/S7/S8; ","")&amp;IF(AND(AO17="P9",AN17&lt;&gt;"T17"),"P9 hanya dengan T17; ","")&amp;IF(AND(OR(AN17="T17",AO17="P9"),AM17&lt;&gt;"R0"),"T17/P9 harus R0; ","")&amp;IF(AND(AN17="T01",AO17&lt;&gt;"P6"),"T01 biasanya P6 (periksa); ","")&amp;IF(AND(AO17="P1",AQ17&lt;&gt;"K4"),"P1 biasanya K4 (periksa); ","")="","OK",IF(AND(AM17="R0",AQ17&lt;&gt;"K5"),"R0 harus K5; ","")&amp;IF(AND(AM17="R1",AQ17="K3"),"R1 tidak boleh K3 (fungsional); ","")&amp;IF(AND(AM17="R2",AQ17="K5"),"R2 tidak boleh K5; ","")&amp;IF(AND(AM17="R2",OR(AL17="S6",AL17="S7",AL17="S8")),"R2 tidak boleh S6/S7/S8; ","")&amp;IF(AND(AO17="P9",AN17&lt;&gt;"T17"),"P9 hanya dengan T17; ","")&amp;IF(AND(OR(AN17="T17",AO17="P9"),AM17&lt;&gt;"R0"),"T17/P9 harus R0; ","")&amp;IF(AND(AN17="T01",AO17&lt;&gt;"P6"),"T01 biasanya P6 (periksa); ","")&amp;IF(AND(AO17="P1",AQ17&lt;&gt;"K4"),"P1 biasanya K4 (periksa); ","")))</f>
        <v/>
      </c>
    </row>
    <row r="18" customFormat="false" ht="48" hidden="false" customHeight="true" outlineLevel="0" collapsed="false">
      <c r="A18" s="9" t="n">
        <v>15</v>
      </c>
      <c r="B18" s="10" t="str">
        <f aca="false">IF(INDEX(Korpus!$A:$A,$A18)="","",INDEX(Korpus!$A:$A,$A18))</f>
        <v/>
      </c>
      <c r="C18" s="10" t="str">
        <f aca="false">TRIM(INDEX(Korpus!$D:$D,$A18)&amp;" "&amp;INDEX(Korpus!$E:$E,$A18))</f>
        <v/>
      </c>
      <c r="D18" s="10" t="str">
        <f aca="false">IF(INDEX(Korpus!$B:$B,$A18)="","",INDEX(Korpus!$B:$B,$A18))</f>
        <v/>
      </c>
      <c r="E18" s="10" t="str">
        <f aca="false">IF(INDEX(Korpus!$C:$C,$A18)="","",INDEX(Korpus!$C:$C,$A18))</f>
        <v/>
      </c>
      <c r="F18" s="10" t="str">
        <f aca="false">IF(INDEX(Korpus!$F:$F,$A18)="","",INDEX(Korpus!$F:$F,$A18))</f>
        <v/>
      </c>
      <c r="G18" s="11" t="s">
        <v>82</v>
      </c>
      <c r="H18" s="11" t="s">
        <v>88</v>
      </c>
      <c r="I18" s="11" t="s">
        <v>89</v>
      </c>
      <c r="J18" s="11" t="s">
        <v>90</v>
      </c>
      <c r="K18" s="11" t="s">
        <v>86</v>
      </c>
      <c r="L18" s="11" t="s">
        <v>87</v>
      </c>
      <c r="M18" s="12"/>
      <c r="N18" s="12"/>
      <c r="O18" s="12"/>
      <c r="P18" s="12"/>
      <c r="Q18" s="12"/>
      <c r="R18" s="12"/>
      <c r="S18" s="13"/>
      <c r="T18" s="13"/>
      <c r="U18" s="13"/>
      <c r="V18" s="13"/>
      <c r="W18" s="13"/>
      <c r="X18" s="13"/>
      <c r="Y18" s="9" t="str">
        <f aca="false">IF(OR(M18="",S18=""),"",IF(M18=S18,"Sama","Beda"))</f>
        <v/>
      </c>
      <c r="Z18" s="9" t="str">
        <f aca="false">IF(OR(N18="",T18=""),"",IF(N18=T18,"Sama","Beda"))</f>
        <v/>
      </c>
      <c r="AA18" s="9" t="str">
        <f aca="false">IF(OR(O18="",U18=""),"",IF(O18=U18,"Sama","Beda"))</f>
        <v/>
      </c>
      <c r="AB18" s="9" t="str">
        <f aca="false">IF(OR(P18="",V18=""),"",IF(P18=V18,"Sama","Beda"))</f>
        <v/>
      </c>
      <c r="AC18" s="9" t="str">
        <f aca="false">IF(OR(Q18="",W18=""),"",IF(Q18=W18,"Sama","Beda"))</f>
        <v/>
      </c>
      <c r="AD18" s="9" t="str">
        <f aca="false">IF(OR(R18="",X18=""),"",IF(R18=X18,"Sama","Beda"))</f>
        <v/>
      </c>
      <c r="AE18" s="9" t="n">
        <f aca="false">COUNTIF(Y18:AD18,"Beda")</f>
        <v>0</v>
      </c>
      <c r="AF18" s="14"/>
      <c r="AG18" s="14"/>
      <c r="AH18" s="14"/>
      <c r="AI18" s="14"/>
      <c r="AJ18" s="14"/>
      <c r="AK18" s="14"/>
      <c r="AL18" s="15" t="str">
        <f aca="false">IF(AF18&lt;&gt;"",AF18,IF(AND(M18&lt;&gt;"",M18=S18),M18,""))</f>
        <v/>
      </c>
      <c r="AM18" s="15" t="str">
        <f aca="false">IF(AG18&lt;&gt;"",AG18,IF(AND(N18&lt;&gt;"",N18=T18),N18,""))</f>
        <v/>
      </c>
      <c r="AN18" s="15" t="str">
        <f aca="false">IF(AH18&lt;&gt;"",AH18,IF(AND(O18&lt;&gt;"",O18=U18),O18,""))</f>
        <v/>
      </c>
      <c r="AO18" s="15" t="str">
        <f aca="false">IF(AI18&lt;&gt;"",AI18,IF(AND(P18&lt;&gt;"",P18=V18),P18,""))</f>
        <v/>
      </c>
      <c r="AP18" s="15" t="str">
        <f aca="false">IF(AJ18&lt;&gt;"",AJ18,IF(AND(Q18&lt;&gt;"",Q18=W18),Q18,""))</f>
        <v/>
      </c>
      <c r="AQ18" s="15" t="str">
        <f aca="false">IF(AK18&lt;&gt;"",AK18,IF(AND(R18&lt;&gt;"",R18=X18),R18,""))</f>
        <v/>
      </c>
      <c r="AR18" s="16"/>
      <c r="AS18" s="9" t="str">
        <f aca="false">IF(COUNTA(M18:R18)+COUNTA(S18:X18)&lt;12,"Menunggu coder",IF(AE18=0,"Sepakat",IF(SUMPRODUCT((Y18:AD18="Beda")*(AF18:AK18=""))=0,"Selesai adjudikasi","Perlu adjudikasi")))</f>
        <v>Menunggu coder</v>
      </c>
      <c r="AT18" s="10" t="str">
        <f aca="false">IF(COUNTIF(AL18:AQ18,"?*")&lt;6,"",IF(IF(AND(AM18="R0",AQ18&lt;&gt;"K5"),"R0 harus K5; ","")&amp;IF(AND(AM18="R1",AQ18="K3"),"R1 tidak boleh K3 (fungsional); ","")&amp;IF(AND(AM18="R2",AQ18="K5"),"R2 tidak boleh K5; ","")&amp;IF(AND(AM18="R2",OR(AL18="S6",AL18="S7",AL18="S8")),"R2 tidak boleh S6/S7/S8; ","")&amp;IF(AND(AO18="P9",AN18&lt;&gt;"T17"),"P9 hanya dengan T17; ","")&amp;IF(AND(OR(AN18="T17",AO18="P9"),AM18&lt;&gt;"R0"),"T17/P9 harus R0; ","")&amp;IF(AND(AN18="T01",AO18&lt;&gt;"P6"),"T01 biasanya P6 (periksa); ","")&amp;IF(AND(AO18="P1",AQ18&lt;&gt;"K4"),"P1 biasanya K4 (periksa); ","")="","OK",IF(AND(AM18="R0",AQ18&lt;&gt;"K5"),"R0 harus K5; ","")&amp;IF(AND(AM18="R1",AQ18="K3"),"R1 tidak boleh K3 (fungsional); ","")&amp;IF(AND(AM18="R2",AQ18="K5"),"R2 tidak boleh K5; ","")&amp;IF(AND(AM18="R2",OR(AL18="S6",AL18="S7",AL18="S8")),"R2 tidak boleh S6/S7/S8; ","")&amp;IF(AND(AO18="P9",AN18&lt;&gt;"T17"),"P9 hanya dengan T17; ","")&amp;IF(AND(OR(AN18="T17",AO18="P9"),AM18&lt;&gt;"R0"),"T17/P9 harus R0; ","")&amp;IF(AND(AN18="T01",AO18&lt;&gt;"P6"),"T01 biasanya P6 (periksa); ","")&amp;IF(AND(AO18="P1",AQ18&lt;&gt;"K4"),"P1 biasanya K4 (periksa); ","")))</f>
        <v/>
      </c>
    </row>
    <row r="19" customFormat="false" ht="48" hidden="false" customHeight="true" outlineLevel="0" collapsed="false">
      <c r="A19" s="9" t="n">
        <v>16</v>
      </c>
      <c r="B19" s="10" t="str">
        <f aca="false">IF(INDEX(Korpus!$A:$A,$A19)="","",INDEX(Korpus!$A:$A,$A19))</f>
        <v/>
      </c>
      <c r="C19" s="10" t="str">
        <f aca="false">TRIM(INDEX(Korpus!$D:$D,$A19)&amp;" "&amp;INDEX(Korpus!$E:$E,$A19))</f>
        <v/>
      </c>
      <c r="D19" s="10" t="str">
        <f aca="false">IF(INDEX(Korpus!$B:$B,$A19)="","",INDEX(Korpus!$B:$B,$A19))</f>
        <v/>
      </c>
      <c r="E19" s="10" t="str">
        <f aca="false">IF(INDEX(Korpus!$C:$C,$A19)="","",INDEX(Korpus!$C:$C,$A19))</f>
        <v/>
      </c>
      <c r="F19" s="10" t="str">
        <f aca="false">IF(INDEX(Korpus!$F:$F,$A19)="","",INDEX(Korpus!$F:$F,$A19))</f>
        <v/>
      </c>
      <c r="G19" s="11"/>
      <c r="H19" s="11"/>
      <c r="I19" s="11"/>
      <c r="J19" s="11"/>
      <c r="K19" s="11"/>
      <c r="L19" s="11"/>
      <c r="M19" s="12"/>
      <c r="N19" s="12"/>
      <c r="O19" s="12"/>
      <c r="P19" s="12"/>
      <c r="Q19" s="12"/>
      <c r="R19" s="12"/>
      <c r="S19" s="13"/>
      <c r="T19" s="13"/>
      <c r="U19" s="13"/>
      <c r="V19" s="13"/>
      <c r="W19" s="13"/>
      <c r="X19" s="13"/>
      <c r="Y19" s="9" t="str">
        <f aca="false">IF(OR(M19="",S19=""),"",IF(M19=S19,"Sama","Beda"))</f>
        <v/>
      </c>
      <c r="Z19" s="9" t="str">
        <f aca="false">IF(OR(N19="",T19=""),"",IF(N19=T19,"Sama","Beda"))</f>
        <v/>
      </c>
      <c r="AA19" s="9" t="str">
        <f aca="false">IF(OR(O19="",U19=""),"",IF(O19=U19,"Sama","Beda"))</f>
        <v/>
      </c>
      <c r="AB19" s="9" t="str">
        <f aca="false">IF(OR(P19="",V19=""),"",IF(P19=V19,"Sama","Beda"))</f>
        <v/>
      </c>
      <c r="AC19" s="9" t="str">
        <f aca="false">IF(OR(Q19="",W19=""),"",IF(Q19=W19,"Sama","Beda"))</f>
        <v/>
      </c>
      <c r="AD19" s="9" t="str">
        <f aca="false">IF(OR(R19="",X19=""),"",IF(R19=X19,"Sama","Beda"))</f>
        <v/>
      </c>
      <c r="AE19" s="9" t="n">
        <f aca="false">COUNTIF(Y19:AD19,"Beda")</f>
        <v>0</v>
      </c>
      <c r="AF19" s="14"/>
      <c r="AG19" s="14"/>
      <c r="AH19" s="14"/>
      <c r="AI19" s="14"/>
      <c r="AJ19" s="14"/>
      <c r="AK19" s="14"/>
      <c r="AL19" s="15" t="str">
        <f aca="false">IF(AF19&lt;&gt;"",AF19,IF(AND(M19&lt;&gt;"",M19=S19),M19,""))</f>
        <v/>
      </c>
      <c r="AM19" s="15" t="str">
        <f aca="false">IF(AG19&lt;&gt;"",AG19,IF(AND(N19&lt;&gt;"",N19=T19),N19,""))</f>
        <v/>
      </c>
      <c r="AN19" s="15" t="str">
        <f aca="false">IF(AH19&lt;&gt;"",AH19,IF(AND(O19&lt;&gt;"",O19=U19),O19,""))</f>
        <v/>
      </c>
      <c r="AO19" s="15" t="str">
        <f aca="false">IF(AI19&lt;&gt;"",AI19,IF(AND(P19&lt;&gt;"",P19=V19),P19,""))</f>
        <v/>
      </c>
      <c r="AP19" s="15" t="str">
        <f aca="false">IF(AJ19&lt;&gt;"",AJ19,IF(AND(Q19&lt;&gt;"",Q19=W19),Q19,""))</f>
        <v/>
      </c>
      <c r="AQ19" s="15" t="str">
        <f aca="false">IF(AK19&lt;&gt;"",AK19,IF(AND(R19&lt;&gt;"",R19=X19),R19,""))</f>
        <v/>
      </c>
      <c r="AR19" s="16"/>
      <c r="AS19" s="9" t="str">
        <f aca="false">IF(COUNTA(M19:R19)+COUNTA(S19:X19)&lt;12,"Menunggu coder",IF(AE19=0,"Sepakat",IF(SUMPRODUCT((Y19:AD19="Beda")*(AF19:AK19=""))=0,"Selesai adjudikasi","Perlu adjudikasi")))</f>
        <v>Menunggu coder</v>
      </c>
      <c r="AT19" s="10" t="str">
        <f aca="false">IF(COUNTIF(AL19:AQ19,"?*")&lt;6,"",IF(IF(AND(AM19="R0",AQ19&lt;&gt;"K5"),"R0 harus K5; ","")&amp;IF(AND(AM19="R1",AQ19="K3"),"R1 tidak boleh K3 (fungsional); ","")&amp;IF(AND(AM19="R2",AQ19="K5"),"R2 tidak boleh K5; ","")&amp;IF(AND(AM19="R2",OR(AL19="S6",AL19="S7",AL19="S8")),"R2 tidak boleh S6/S7/S8; ","")&amp;IF(AND(AO19="P9",AN19&lt;&gt;"T17"),"P9 hanya dengan T17; ","")&amp;IF(AND(OR(AN19="T17",AO19="P9"),AM19&lt;&gt;"R0"),"T17/P9 harus R0; ","")&amp;IF(AND(AN19="T01",AO19&lt;&gt;"P6"),"T01 biasanya P6 (periksa); ","")&amp;IF(AND(AO19="P1",AQ19&lt;&gt;"K4"),"P1 biasanya K4 (periksa); ","")="","OK",IF(AND(AM19="R0",AQ19&lt;&gt;"K5"),"R0 harus K5; ","")&amp;IF(AND(AM19="R1",AQ19="K3"),"R1 tidak boleh K3 (fungsional); ","")&amp;IF(AND(AM19="R2",AQ19="K5"),"R2 tidak boleh K5; ","")&amp;IF(AND(AM19="R2",OR(AL19="S6",AL19="S7",AL19="S8")),"R2 tidak boleh S6/S7/S8; ","")&amp;IF(AND(AO19="P9",AN19&lt;&gt;"T17"),"P9 hanya dengan T17; ","")&amp;IF(AND(OR(AN19="T17",AO19="P9"),AM19&lt;&gt;"R0"),"T17/P9 harus R0; ","")&amp;IF(AND(AN19="T01",AO19&lt;&gt;"P6"),"T01 biasanya P6 (periksa); ","")&amp;IF(AND(AO19="P1",AQ19&lt;&gt;"K4"),"P1 biasanya K4 (periksa); ","")))</f>
        <v/>
      </c>
    </row>
    <row r="20" customFormat="false" ht="48" hidden="false" customHeight="true" outlineLevel="0" collapsed="false">
      <c r="A20" s="9" t="n">
        <v>17</v>
      </c>
      <c r="B20" s="10" t="str">
        <f aca="false">IF(INDEX(Korpus!$A:$A,$A20)="","",INDEX(Korpus!$A:$A,$A20))</f>
        <v/>
      </c>
      <c r="C20" s="10" t="str">
        <f aca="false">TRIM(INDEX(Korpus!$D:$D,$A20)&amp;" "&amp;INDEX(Korpus!$E:$E,$A20))</f>
        <v/>
      </c>
      <c r="D20" s="10" t="str">
        <f aca="false">IF(INDEX(Korpus!$B:$B,$A20)="","",INDEX(Korpus!$B:$B,$A20))</f>
        <v/>
      </c>
      <c r="E20" s="10" t="str">
        <f aca="false">IF(INDEX(Korpus!$C:$C,$A20)="","",INDEX(Korpus!$C:$C,$A20))</f>
        <v/>
      </c>
      <c r="F20" s="10" t="str">
        <f aca="false">IF(INDEX(Korpus!$F:$F,$A20)="","",INDEX(Korpus!$F:$F,$A20))</f>
        <v/>
      </c>
      <c r="G20" s="11"/>
      <c r="H20" s="11"/>
      <c r="I20" s="11"/>
      <c r="J20" s="11"/>
      <c r="K20" s="11"/>
      <c r="L20" s="11"/>
      <c r="M20" s="12"/>
      <c r="N20" s="12"/>
      <c r="O20" s="12"/>
      <c r="P20" s="12"/>
      <c r="Q20" s="12"/>
      <c r="R20" s="12"/>
      <c r="S20" s="13"/>
      <c r="T20" s="13"/>
      <c r="U20" s="13"/>
      <c r="V20" s="13"/>
      <c r="W20" s="13"/>
      <c r="X20" s="13"/>
      <c r="Y20" s="9" t="str">
        <f aca="false">IF(OR(M20="",S20=""),"",IF(M20=S20,"Sama","Beda"))</f>
        <v/>
      </c>
      <c r="Z20" s="9" t="str">
        <f aca="false">IF(OR(N20="",T20=""),"",IF(N20=T20,"Sama","Beda"))</f>
        <v/>
      </c>
      <c r="AA20" s="9" t="str">
        <f aca="false">IF(OR(O20="",U20=""),"",IF(O20=U20,"Sama","Beda"))</f>
        <v/>
      </c>
      <c r="AB20" s="9" t="str">
        <f aca="false">IF(OR(P20="",V20=""),"",IF(P20=V20,"Sama","Beda"))</f>
        <v/>
      </c>
      <c r="AC20" s="9" t="str">
        <f aca="false">IF(OR(Q20="",W20=""),"",IF(Q20=W20,"Sama","Beda"))</f>
        <v/>
      </c>
      <c r="AD20" s="9" t="str">
        <f aca="false">IF(OR(R20="",X20=""),"",IF(R20=X20,"Sama","Beda"))</f>
        <v/>
      </c>
      <c r="AE20" s="9" t="n">
        <f aca="false">COUNTIF(Y20:AD20,"Beda")</f>
        <v>0</v>
      </c>
      <c r="AF20" s="14"/>
      <c r="AG20" s="14"/>
      <c r="AH20" s="14"/>
      <c r="AI20" s="14"/>
      <c r="AJ20" s="14"/>
      <c r="AK20" s="14"/>
      <c r="AL20" s="15" t="str">
        <f aca="false">IF(AF20&lt;&gt;"",AF20,IF(AND(M20&lt;&gt;"",M20=S20),M20,""))</f>
        <v/>
      </c>
      <c r="AM20" s="15" t="str">
        <f aca="false">IF(AG20&lt;&gt;"",AG20,IF(AND(N20&lt;&gt;"",N20=T20),N20,""))</f>
        <v/>
      </c>
      <c r="AN20" s="15" t="str">
        <f aca="false">IF(AH20&lt;&gt;"",AH20,IF(AND(O20&lt;&gt;"",O20=U20),O20,""))</f>
        <v/>
      </c>
      <c r="AO20" s="15" t="str">
        <f aca="false">IF(AI20&lt;&gt;"",AI20,IF(AND(P20&lt;&gt;"",P20=V20),P20,""))</f>
        <v/>
      </c>
      <c r="AP20" s="15" t="str">
        <f aca="false">IF(AJ20&lt;&gt;"",AJ20,IF(AND(Q20&lt;&gt;"",Q20=W20),Q20,""))</f>
        <v/>
      </c>
      <c r="AQ20" s="15" t="str">
        <f aca="false">IF(AK20&lt;&gt;"",AK20,IF(AND(R20&lt;&gt;"",R20=X20),R20,""))</f>
        <v/>
      </c>
      <c r="AR20" s="16"/>
      <c r="AS20" s="9" t="str">
        <f aca="false">IF(COUNTA(M20:R20)+COUNTA(S20:X20)&lt;12,"Menunggu coder",IF(AE20=0,"Sepakat",IF(SUMPRODUCT((Y20:AD20="Beda")*(AF20:AK20=""))=0,"Selesai adjudikasi","Perlu adjudikasi")))</f>
        <v>Menunggu coder</v>
      </c>
      <c r="AT20" s="10" t="str">
        <f aca="false">IF(COUNTIF(AL20:AQ20,"?*")&lt;6,"",IF(IF(AND(AM20="R0",AQ20&lt;&gt;"K5"),"R0 harus K5; ","")&amp;IF(AND(AM20="R1",AQ20="K3"),"R1 tidak boleh K3 (fungsional); ","")&amp;IF(AND(AM20="R2",AQ20="K5"),"R2 tidak boleh K5; ","")&amp;IF(AND(AM20="R2",OR(AL20="S6",AL20="S7",AL20="S8")),"R2 tidak boleh S6/S7/S8; ","")&amp;IF(AND(AO20="P9",AN20&lt;&gt;"T17"),"P9 hanya dengan T17; ","")&amp;IF(AND(OR(AN20="T17",AO20="P9"),AM20&lt;&gt;"R0"),"T17/P9 harus R0; ","")&amp;IF(AND(AN20="T01",AO20&lt;&gt;"P6"),"T01 biasanya P6 (periksa); ","")&amp;IF(AND(AO20="P1",AQ20&lt;&gt;"K4"),"P1 biasanya K4 (periksa); ","")="","OK",IF(AND(AM20="R0",AQ20&lt;&gt;"K5"),"R0 harus K5; ","")&amp;IF(AND(AM20="R1",AQ20="K3"),"R1 tidak boleh K3 (fungsional); ","")&amp;IF(AND(AM20="R2",AQ20="K5"),"R2 tidak boleh K5; ","")&amp;IF(AND(AM20="R2",OR(AL20="S6",AL20="S7",AL20="S8")),"R2 tidak boleh S6/S7/S8; ","")&amp;IF(AND(AO20="P9",AN20&lt;&gt;"T17"),"P9 hanya dengan T17; ","")&amp;IF(AND(OR(AN20="T17",AO20="P9"),AM20&lt;&gt;"R0"),"T17/P9 harus R0; ","")&amp;IF(AND(AN20="T01",AO20&lt;&gt;"P6"),"T01 biasanya P6 (periksa); ","")&amp;IF(AND(AO20="P1",AQ20&lt;&gt;"K4"),"P1 biasanya K4 (periksa); ","")))</f>
        <v/>
      </c>
    </row>
    <row r="21" customFormat="false" ht="48" hidden="false" customHeight="true" outlineLevel="0" collapsed="false">
      <c r="A21" s="9" t="n">
        <v>18</v>
      </c>
      <c r="B21" s="10" t="str">
        <f aca="false">IF(INDEX(Korpus!$A:$A,$A21)="","",INDEX(Korpus!$A:$A,$A21))</f>
        <v/>
      </c>
      <c r="C21" s="10" t="str">
        <f aca="false">TRIM(INDEX(Korpus!$D:$D,$A21)&amp;" "&amp;INDEX(Korpus!$E:$E,$A21))</f>
        <v/>
      </c>
      <c r="D21" s="10" t="str">
        <f aca="false">IF(INDEX(Korpus!$B:$B,$A21)="","",INDEX(Korpus!$B:$B,$A21))</f>
        <v/>
      </c>
      <c r="E21" s="10" t="str">
        <f aca="false">IF(INDEX(Korpus!$C:$C,$A21)="","",INDEX(Korpus!$C:$C,$A21))</f>
        <v/>
      </c>
      <c r="F21" s="10" t="str">
        <f aca="false">IF(INDEX(Korpus!$F:$F,$A21)="","",INDEX(Korpus!$F:$F,$A21))</f>
        <v/>
      </c>
      <c r="G21" s="11"/>
      <c r="H21" s="11"/>
      <c r="I21" s="11"/>
      <c r="J21" s="11"/>
      <c r="K21" s="11"/>
      <c r="L21" s="11"/>
      <c r="M21" s="12"/>
      <c r="N21" s="12"/>
      <c r="O21" s="12"/>
      <c r="P21" s="12"/>
      <c r="Q21" s="12"/>
      <c r="R21" s="12"/>
      <c r="S21" s="13"/>
      <c r="T21" s="13"/>
      <c r="U21" s="13"/>
      <c r="V21" s="13"/>
      <c r="W21" s="13"/>
      <c r="X21" s="13"/>
      <c r="Y21" s="9" t="str">
        <f aca="false">IF(OR(M21="",S21=""),"",IF(M21=S21,"Sama","Beda"))</f>
        <v/>
      </c>
      <c r="Z21" s="9" t="str">
        <f aca="false">IF(OR(N21="",T21=""),"",IF(N21=T21,"Sama","Beda"))</f>
        <v/>
      </c>
      <c r="AA21" s="9" t="str">
        <f aca="false">IF(OR(O21="",U21=""),"",IF(O21=U21,"Sama","Beda"))</f>
        <v/>
      </c>
      <c r="AB21" s="9" t="str">
        <f aca="false">IF(OR(P21="",V21=""),"",IF(P21=V21,"Sama","Beda"))</f>
        <v/>
      </c>
      <c r="AC21" s="9" t="str">
        <f aca="false">IF(OR(Q21="",W21=""),"",IF(Q21=W21,"Sama","Beda"))</f>
        <v/>
      </c>
      <c r="AD21" s="9" t="str">
        <f aca="false">IF(OR(R21="",X21=""),"",IF(R21=X21,"Sama","Beda"))</f>
        <v/>
      </c>
      <c r="AE21" s="9" t="n">
        <f aca="false">COUNTIF(Y21:AD21,"Beda")</f>
        <v>0</v>
      </c>
      <c r="AF21" s="14"/>
      <c r="AG21" s="14"/>
      <c r="AH21" s="14"/>
      <c r="AI21" s="14"/>
      <c r="AJ21" s="14"/>
      <c r="AK21" s="14"/>
      <c r="AL21" s="15" t="str">
        <f aca="false">IF(AF21&lt;&gt;"",AF21,IF(AND(M21&lt;&gt;"",M21=S21),M21,""))</f>
        <v/>
      </c>
      <c r="AM21" s="15" t="str">
        <f aca="false">IF(AG21&lt;&gt;"",AG21,IF(AND(N21&lt;&gt;"",N21=T21),N21,""))</f>
        <v/>
      </c>
      <c r="AN21" s="15" t="str">
        <f aca="false">IF(AH21&lt;&gt;"",AH21,IF(AND(O21&lt;&gt;"",O21=U21),O21,""))</f>
        <v/>
      </c>
      <c r="AO21" s="15" t="str">
        <f aca="false">IF(AI21&lt;&gt;"",AI21,IF(AND(P21&lt;&gt;"",P21=V21),P21,""))</f>
        <v/>
      </c>
      <c r="AP21" s="15" t="str">
        <f aca="false">IF(AJ21&lt;&gt;"",AJ21,IF(AND(Q21&lt;&gt;"",Q21=W21),Q21,""))</f>
        <v/>
      </c>
      <c r="AQ21" s="15" t="str">
        <f aca="false">IF(AK21&lt;&gt;"",AK21,IF(AND(R21&lt;&gt;"",R21=X21),R21,""))</f>
        <v/>
      </c>
      <c r="AR21" s="16"/>
      <c r="AS21" s="9" t="str">
        <f aca="false">IF(COUNTA(M21:R21)+COUNTA(S21:X21)&lt;12,"Menunggu coder",IF(AE21=0,"Sepakat",IF(SUMPRODUCT((Y21:AD21="Beda")*(AF21:AK21=""))=0,"Selesai adjudikasi","Perlu adjudikasi")))</f>
        <v>Menunggu coder</v>
      </c>
      <c r="AT21" s="10" t="str">
        <f aca="false">IF(COUNTIF(AL21:AQ21,"?*")&lt;6,"",IF(IF(AND(AM21="R0",AQ21&lt;&gt;"K5"),"R0 harus K5; ","")&amp;IF(AND(AM21="R1",AQ21="K3"),"R1 tidak boleh K3 (fungsional); ","")&amp;IF(AND(AM21="R2",AQ21="K5"),"R2 tidak boleh K5; ","")&amp;IF(AND(AM21="R2",OR(AL21="S6",AL21="S7",AL21="S8")),"R2 tidak boleh S6/S7/S8; ","")&amp;IF(AND(AO21="P9",AN21&lt;&gt;"T17"),"P9 hanya dengan T17; ","")&amp;IF(AND(OR(AN21="T17",AO21="P9"),AM21&lt;&gt;"R0"),"T17/P9 harus R0; ","")&amp;IF(AND(AN21="T01",AO21&lt;&gt;"P6"),"T01 biasanya P6 (periksa); ","")&amp;IF(AND(AO21="P1",AQ21&lt;&gt;"K4"),"P1 biasanya K4 (periksa); ","")="","OK",IF(AND(AM21="R0",AQ21&lt;&gt;"K5"),"R0 harus K5; ","")&amp;IF(AND(AM21="R1",AQ21="K3"),"R1 tidak boleh K3 (fungsional); ","")&amp;IF(AND(AM21="R2",AQ21="K5"),"R2 tidak boleh K5; ","")&amp;IF(AND(AM21="R2",OR(AL21="S6",AL21="S7",AL21="S8")),"R2 tidak boleh S6/S7/S8; ","")&amp;IF(AND(AO21="P9",AN21&lt;&gt;"T17"),"P9 hanya dengan T17; ","")&amp;IF(AND(OR(AN21="T17",AO21="P9"),AM21&lt;&gt;"R0"),"T17/P9 harus R0; ","")&amp;IF(AND(AN21="T01",AO21&lt;&gt;"P6"),"T01 biasanya P6 (periksa); ","")&amp;IF(AND(AO21="P1",AQ21&lt;&gt;"K4"),"P1 biasanya K4 (periksa); ","")))</f>
        <v/>
      </c>
    </row>
    <row r="22" customFormat="false" ht="48" hidden="false" customHeight="true" outlineLevel="0" collapsed="false">
      <c r="A22" s="9" t="n">
        <v>19</v>
      </c>
      <c r="B22" s="10" t="str">
        <f aca="false">IF(INDEX(Korpus!$A:$A,$A22)="","",INDEX(Korpus!$A:$A,$A22))</f>
        <v/>
      </c>
      <c r="C22" s="10" t="str">
        <f aca="false">TRIM(INDEX(Korpus!$D:$D,$A22)&amp;" "&amp;INDEX(Korpus!$E:$E,$A22))</f>
        <v/>
      </c>
      <c r="D22" s="10" t="str">
        <f aca="false">IF(INDEX(Korpus!$B:$B,$A22)="","",INDEX(Korpus!$B:$B,$A22))</f>
        <v/>
      </c>
      <c r="E22" s="10" t="str">
        <f aca="false">IF(INDEX(Korpus!$C:$C,$A22)="","",INDEX(Korpus!$C:$C,$A22))</f>
        <v/>
      </c>
      <c r="F22" s="10" t="str">
        <f aca="false">IF(INDEX(Korpus!$F:$F,$A22)="","",INDEX(Korpus!$F:$F,$A22))</f>
        <v/>
      </c>
      <c r="G22" s="11"/>
      <c r="H22" s="11"/>
      <c r="I22" s="11"/>
      <c r="J22" s="11"/>
      <c r="K22" s="11"/>
      <c r="L22" s="11"/>
      <c r="M22" s="12"/>
      <c r="N22" s="12"/>
      <c r="O22" s="12"/>
      <c r="P22" s="12"/>
      <c r="Q22" s="12"/>
      <c r="R22" s="12"/>
      <c r="S22" s="13"/>
      <c r="T22" s="13"/>
      <c r="U22" s="13"/>
      <c r="V22" s="13"/>
      <c r="W22" s="13"/>
      <c r="X22" s="13"/>
      <c r="Y22" s="9" t="str">
        <f aca="false">IF(OR(M22="",S22=""),"",IF(M22=S22,"Sama","Beda"))</f>
        <v/>
      </c>
      <c r="Z22" s="9" t="str">
        <f aca="false">IF(OR(N22="",T22=""),"",IF(N22=T22,"Sama","Beda"))</f>
        <v/>
      </c>
      <c r="AA22" s="9" t="str">
        <f aca="false">IF(OR(O22="",U22=""),"",IF(O22=U22,"Sama","Beda"))</f>
        <v/>
      </c>
      <c r="AB22" s="9" t="str">
        <f aca="false">IF(OR(P22="",V22=""),"",IF(P22=V22,"Sama","Beda"))</f>
        <v/>
      </c>
      <c r="AC22" s="9" t="str">
        <f aca="false">IF(OR(Q22="",W22=""),"",IF(Q22=W22,"Sama","Beda"))</f>
        <v/>
      </c>
      <c r="AD22" s="9" t="str">
        <f aca="false">IF(OR(R22="",X22=""),"",IF(R22=X22,"Sama","Beda"))</f>
        <v/>
      </c>
      <c r="AE22" s="9" t="n">
        <f aca="false">COUNTIF(Y22:AD22,"Beda")</f>
        <v>0</v>
      </c>
      <c r="AF22" s="14"/>
      <c r="AG22" s="14"/>
      <c r="AH22" s="14"/>
      <c r="AI22" s="14"/>
      <c r="AJ22" s="14"/>
      <c r="AK22" s="14"/>
      <c r="AL22" s="15" t="str">
        <f aca="false">IF(AF22&lt;&gt;"",AF22,IF(AND(M22&lt;&gt;"",M22=S22),M22,""))</f>
        <v/>
      </c>
      <c r="AM22" s="15" t="str">
        <f aca="false">IF(AG22&lt;&gt;"",AG22,IF(AND(N22&lt;&gt;"",N22=T22),N22,""))</f>
        <v/>
      </c>
      <c r="AN22" s="15" t="str">
        <f aca="false">IF(AH22&lt;&gt;"",AH22,IF(AND(O22&lt;&gt;"",O22=U22),O22,""))</f>
        <v/>
      </c>
      <c r="AO22" s="15" t="str">
        <f aca="false">IF(AI22&lt;&gt;"",AI22,IF(AND(P22&lt;&gt;"",P22=V22),P22,""))</f>
        <v/>
      </c>
      <c r="AP22" s="15" t="str">
        <f aca="false">IF(AJ22&lt;&gt;"",AJ22,IF(AND(Q22&lt;&gt;"",Q22=W22),Q22,""))</f>
        <v/>
      </c>
      <c r="AQ22" s="15" t="str">
        <f aca="false">IF(AK22&lt;&gt;"",AK22,IF(AND(R22&lt;&gt;"",R22=X22),R22,""))</f>
        <v/>
      </c>
      <c r="AR22" s="16"/>
      <c r="AS22" s="9" t="str">
        <f aca="false">IF(COUNTA(M22:R22)+COUNTA(S22:X22)&lt;12,"Menunggu coder",IF(AE22=0,"Sepakat",IF(SUMPRODUCT((Y22:AD22="Beda")*(AF22:AK22=""))=0,"Selesai adjudikasi","Perlu adjudikasi")))</f>
        <v>Menunggu coder</v>
      </c>
      <c r="AT22" s="10" t="str">
        <f aca="false">IF(COUNTIF(AL22:AQ22,"?*")&lt;6,"",IF(IF(AND(AM22="R0",AQ22&lt;&gt;"K5"),"R0 harus K5; ","")&amp;IF(AND(AM22="R1",AQ22="K3"),"R1 tidak boleh K3 (fungsional); ","")&amp;IF(AND(AM22="R2",AQ22="K5"),"R2 tidak boleh K5; ","")&amp;IF(AND(AM22="R2",OR(AL22="S6",AL22="S7",AL22="S8")),"R2 tidak boleh S6/S7/S8; ","")&amp;IF(AND(AO22="P9",AN22&lt;&gt;"T17"),"P9 hanya dengan T17; ","")&amp;IF(AND(OR(AN22="T17",AO22="P9"),AM22&lt;&gt;"R0"),"T17/P9 harus R0; ","")&amp;IF(AND(AN22="T01",AO22&lt;&gt;"P6"),"T01 biasanya P6 (periksa); ","")&amp;IF(AND(AO22="P1",AQ22&lt;&gt;"K4"),"P1 biasanya K4 (periksa); ","")="","OK",IF(AND(AM22="R0",AQ22&lt;&gt;"K5"),"R0 harus K5; ","")&amp;IF(AND(AM22="R1",AQ22="K3"),"R1 tidak boleh K3 (fungsional); ","")&amp;IF(AND(AM22="R2",AQ22="K5"),"R2 tidak boleh K5; ","")&amp;IF(AND(AM22="R2",OR(AL22="S6",AL22="S7",AL22="S8")),"R2 tidak boleh S6/S7/S8; ","")&amp;IF(AND(AO22="P9",AN22&lt;&gt;"T17"),"P9 hanya dengan T17; ","")&amp;IF(AND(OR(AN22="T17",AO22="P9"),AM22&lt;&gt;"R0"),"T17/P9 harus R0; ","")&amp;IF(AND(AN22="T01",AO22&lt;&gt;"P6"),"T01 biasanya P6 (periksa); ","")&amp;IF(AND(AO22="P1",AQ22&lt;&gt;"K4"),"P1 biasanya K4 (periksa); ","")))</f>
        <v/>
      </c>
    </row>
    <row r="23" customFormat="false" ht="48" hidden="false" customHeight="true" outlineLevel="0" collapsed="false">
      <c r="A23" s="9" t="n">
        <v>20</v>
      </c>
      <c r="B23" s="10" t="str">
        <f aca="false">IF(INDEX(Korpus!$A:$A,$A23)="","",INDEX(Korpus!$A:$A,$A23))</f>
        <v/>
      </c>
      <c r="C23" s="10" t="str">
        <f aca="false">TRIM(INDEX(Korpus!$D:$D,$A23)&amp;" "&amp;INDEX(Korpus!$E:$E,$A23))</f>
        <v/>
      </c>
      <c r="D23" s="10" t="str">
        <f aca="false">IF(INDEX(Korpus!$B:$B,$A23)="","",INDEX(Korpus!$B:$B,$A23))</f>
        <v/>
      </c>
      <c r="E23" s="10" t="str">
        <f aca="false">IF(INDEX(Korpus!$C:$C,$A23)="","",INDEX(Korpus!$C:$C,$A23))</f>
        <v/>
      </c>
      <c r="F23" s="10" t="str">
        <f aca="false">IF(INDEX(Korpus!$F:$F,$A23)="","",INDEX(Korpus!$F:$F,$A23))</f>
        <v/>
      </c>
      <c r="G23" s="11"/>
      <c r="H23" s="11"/>
      <c r="I23" s="11"/>
      <c r="J23" s="11"/>
      <c r="K23" s="11"/>
      <c r="L23" s="11"/>
      <c r="M23" s="12"/>
      <c r="N23" s="12"/>
      <c r="O23" s="12"/>
      <c r="P23" s="12"/>
      <c r="Q23" s="12"/>
      <c r="R23" s="12"/>
      <c r="S23" s="13"/>
      <c r="T23" s="13"/>
      <c r="U23" s="13"/>
      <c r="V23" s="13"/>
      <c r="W23" s="13"/>
      <c r="X23" s="13"/>
      <c r="Y23" s="9" t="str">
        <f aca="false">IF(OR(M23="",S23=""),"",IF(M23=S23,"Sama","Beda"))</f>
        <v/>
      </c>
      <c r="Z23" s="9" t="str">
        <f aca="false">IF(OR(N23="",T23=""),"",IF(N23=T23,"Sama","Beda"))</f>
        <v/>
      </c>
      <c r="AA23" s="9" t="str">
        <f aca="false">IF(OR(O23="",U23=""),"",IF(O23=U23,"Sama","Beda"))</f>
        <v/>
      </c>
      <c r="AB23" s="9" t="str">
        <f aca="false">IF(OR(P23="",V23=""),"",IF(P23=V23,"Sama","Beda"))</f>
        <v/>
      </c>
      <c r="AC23" s="9" t="str">
        <f aca="false">IF(OR(Q23="",W23=""),"",IF(Q23=W23,"Sama","Beda"))</f>
        <v/>
      </c>
      <c r="AD23" s="9" t="str">
        <f aca="false">IF(OR(R23="",X23=""),"",IF(R23=X23,"Sama","Beda"))</f>
        <v/>
      </c>
      <c r="AE23" s="9" t="n">
        <f aca="false">COUNTIF(Y23:AD23,"Beda")</f>
        <v>0</v>
      </c>
      <c r="AF23" s="14"/>
      <c r="AG23" s="14"/>
      <c r="AH23" s="14"/>
      <c r="AI23" s="14"/>
      <c r="AJ23" s="14"/>
      <c r="AK23" s="14"/>
      <c r="AL23" s="15" t="str">
        <f aca="false">IF(AF23&lt;&gt;"",AF23,IF(AND(M23&lt;&gt;"",M23=S23),M23,""))</f>
        <v/>
      </c>
      <c r="AM23" s="15" t="str">
        <f aca="false">IF(AG23&lt;&gt;"",AG23,IF(AND(N23&lt;&gt;"",N23=T23),N23,""))</f>
        <v/>
      </c>
      <c r="AN23" s="15" t="str">
        <f aca="false">IF(AH23&lt;&gt;"",AH23,IF(AND(O23&lt;&gt;"",O23=U23),O23,""))</f>
        <v/>
      </c>
      <c r="AO23" s="15" t="str">
        <f aca="false">IF(AI23&lt;&gt;"",AI23,IF(AND(P23&lt;&gt;"",P23=V23),P23,""))</f>
        <v/>
      </c>
      <c r="AP23" s="15" t="str">
        <f aca="false">IF(AJ23&lt;&gt;"",AJ23,IF(AND(Q23&lt;&gt;"",Q23=W23),Q23,""))</f>
        <v/>
      </c>
      <c r="AQ23" s="15" t="str">
        <f aca="false">IF(AK23&lt;&gt;"",AK23,IF(AND(R23&lt;&gt;"",R23=X23),R23,""))</f>
        <v/>
      </c>
      <c r="AR23" s="16"/>
      <c r="AS23" s="9" t="str">
        <f aca="false">IF(COUNTA(M23:R23)+COUNTA(S23:X23)&lt;12,"Menunggu coder",IF(AE23=0,"Sepakat",IF(SUMPRODUCT((Y23:AD23="Beda")*(AF23:AK23=""))=0,"Selesai adjudikasi","Perlu adjudikasi")))</f>
        <v>Menunggu coder</v>
      </c>
      <c r="AT23" s="10" t="str">
        <f aca="false">IF(COUNTIF(AL23:AQ23,"?*")&lt;6,"",IF(IF(AND(AM23="R0",AQ23&lt;&gt;"K5"),"R0 harus K5; ","")&amp;IF(AND(AM23="R1",AQ23="K3"),"R1 tidak boleh K3 (fungsional); ","")&amp;IF(AND(AM23="R2",AQ23="K5"),"R2 tidak boleh K5; ","")&amp;IF(AND(AM23="R2",OR(AL23="S6",AL23="S7",AL23="S8")),"R2 tidak boleh S6/S7/S8; ","")&amp;IF(AND(AO23="P9",AN23&lt;&gt;"T17"),"P9 hanya dengan T17; ","")&amp;IF(AND(OR(AN23="T17",AO23="P9"),AM23&lt;&gt;"R0"),"T17/P9 harus R0; ","")&amp;IF(AND(AN23="T01",AO23&lt;&gt;"P6"),"T01 biasanya P6 (periksa); ","")&amp;IF(AND(AO23="P1",AQ23&lt;&gt;"K4"),"P1 biasanya K4 (periksa); ","")="","OK",IF(AND(AM23="R0",AQ23&lt;&gt;"K5"),"R0 harus K5; ","")&amp;IF(AND(AM23="R1",AQ23="K3"),"R1 tidak boleh K3 (fungsional); ","")&amp;IF(AND(AM23="R2",AQ23="K5"),"R2 tidak boleh K5; ","")&amp;IF(AND(AM23="R2",OR(AL23="S6",AL23="S7",AL23="S8")),"R2 tidak boleh S6/S7/S8; ","")&amp;IF(AND(AO23="P9",AN23&lt;&gt;"T17"),"P9 hanya dengan T17; ","")&amp;IF(AND(OR(AN23="T17",AO23="P9"),AM23&lt;&gt;"R0"),"T17/P9 harus R0; ","")&amp;IF(AND(AN23="T01",AO23&lt;&gt;"P6"),"T01 biasanya P6 (periksa); ","")&amp;IF(AND(AO23="P1",AQ23&lt;&gt;"K4"),"P1 biasanya K4 (periksa); ","")))</f>
        <v/>
      </c>
    </row>
    <row r="24" customFormat="false" ht="48" hidden="false" customHeight="true" outlineLevel="0" collapsed="false">
      <c r="A24" s="9" t="n">
        <v>21</v>
      </c>
      <c r="B24" s="10" t="str">
        <f aca="false">IF(INDEX(Korpus!$A:$A,$A24)="","",INDEX(Korpus!$A:$A,$A24))</f>
        <v/>
      </c>
      <c r="C24" s="10" t="str">
        <f aca="false">TRIM(INDEX(Korpus!$D:$D,$A24)&amp;" "&amp;INDEX(Korpus!$E:$E,$A24))</f>
        <v/>
      </c>
      <c r="D24" s="10" t="str">
        <f aca="false">IF(INDEX(Korpus!$B:$B,$A24)="","",INDEX(Korpus!$B:$B,$A24))</f>
        <v/>
      </c>
      <c r="E24" s="10" t="str">
        <f aca="false">IF(INDEX(Korpus!$C:$C,$A24)="","",INDEX(Korpus!$C:$C,$A24))</f>
        <v/>
      </c>
      <c r="F24" s="10" t="str">
        <f aca="false">IF(INDEX(Korpus!$F:$F,$A24)="","",INDEX(Korpus!$F:$F,$A24))</f>
        <v/>
      </c>
      <c r="G24" s="11"/>
      <c r="H24" s="11"/>
      <c r="I24" s="11"/>
      <c r="J24" s="11"/>
      <c r="K24" s="11"/>
      <c r="L24" s="11"/>
      <c r="M24" s="12"/>
      <c r="N24" s="12"/>
      <c r="O24" s="12"/>
      <c r="P24" s="12"/>
      <c r="Q24" s="12"/>
      <c r="R24" s="12"/>
      <c r="S24" s="13"/>
      <c r="T24" s="13"/>
      <c r="U24" s="13"/>
      <c r="V24" s="13"/>
      <c r="W24" s="13"/>
      <c r="X24" s="13"/>
      <c r="Y24" s="9" t="str">
        <f aca="false">IF(OR(M24="",S24=""),"",IF(M24=S24,"Sama","Beda"))</f>
        <v/>
      </c>
      <c r="Z24" s="9" t="str">
        <f aca="false">IF(OR(N24="",T24=""),"",IF(N24=T24,"Sama","Beda"))</f>
        <v/>
      </c>
      <c r="AA24" s="9" t="str">
        <f aca="false">IF(OR(O24="",U24=""),"",IF(O24=U24,"Sama","Beda"))</f>
        <v/>
      </c>
      <c r="AB24" s="9" t="str">
        <f aca="false">IF(OR(P24="",V24=""),"",IF(P24=V24,"Sama","Beda"))</f>
        <v/>
      </c>
      <c r="AC24" s="9" t="str">
        <f aca="false">IF(OR(Q24="",W24=""),"",IF(Q24=W24,"Sama","Beda"))</f>
        <v/>
      </c>
      <c r="AD24" s="9" t="str">
        <f aca="false">IF(OR(R24="",X24=""),"",IF(R24=X24,"Sama","Beda"))</f>
        <v/>
      </c>
      <c r="AE24" s="9" t="n">
        <f aca="false">COUNTIF(Y24:AD24,"Beda")</f>
        <v>0</v>
      </c>
      <c r="AF24" s="14"/>
      <c r="AG24" s="14"/>
      <c r="AH24" s="14"/>
      <c r="AI24" s="14"/>
      <c r="AJ24" s="14"/>
      <c r="AK24" s="14"/>
      <c r="AL24" s="15" t="str">
        <f aca="false">IF(AF24&lt;&gt;"",AF24,IF(AND(M24&lt;&gt;"",M24=S24),M24,""))</f>
        <v/>
      </c>
      <c r="AM24" s="15" t="str">
        <f aca="false">IF(AG24&lt;&gt;"",AG24,IF(AND(N24&lt;&gt;"",N24=T24),N24,""))</f>
        <v/>
      </c>
      <c r="AN24" s="15" t="str">
        <f aca="false">IF(AH24&lt;&gt;"",AH24,IF(AND(O24&lt;&gt;"",O24=U24),O24,""))</f>
        <v/>
      </c>
      <c r="AO24" s="15" t="str">
        <f aca="false">IF(AI24&lt;&gt;"",AI24,IF(AND(P24&lt;&gt;"",P24=V24),P24,""))</f>
        <v/>
      </c>
      <c r="AP24" s="15" t="str">
        <f aca="false">IF(AJ24&lt;&gt;"",AJ24,IF(AND(Q24&lt;&gt;"",Q24=W24),Q24,""))</f>
        <v/>
      </c>
      <c r="AQ24" s="15" t="str">
        <f aca="false">IF(AK24&lt;&gt;"",AK24,IF(AND(R24&lt;&gt;"",R24=X24),R24,""))</f>
        <v/>
      </c>
      <c r="AR24" s="16"/>
      <c r="AS24" s="9" t="str">
        <f aca="false">IF(COUNTA(M24:R24)+COUNTA(S24:X24)&lt;12,"Menunggu coder",IF(AE24=0,"Sepakat",IF(SUMPRODUCT((Y24:AD24="Beda")*(AF24:AK24=""))=0,"Selesai adjudikasi","Perlu adjudikasi")))</f>
        <v>Menunggu coder</v>
      </c>
      <c r="AT24" s="10" t="str">
        <f aca="false">IF(COUNTIF(AL24:AQ24,"?*")&lt;6,"",IF(IF(AND(AM24="R0",AQ24&lt;&gt;"K5"),"R0 harus K5; ","")&amp;IF(AND(AM24="R1",AQ24="K3"),"R1 tidak boleh K3 (fungsional); ","")&amp;IF(AND(AM24="R2",AQ24="K5"),"R2 tidak boleh K5; ","")&amp;IF(AND(AM24="R2",OR(AL24="S6",AL24="S7",AL24="S8")),"R2 tidak boleh S6/S7/S8; ","")&amp;IF(AND(AO24="P9",AN24&lt;&gt;"T17"),"P9 hanya dengan T17; ","")&amp;IF(AND(OR(AN24="T17",AO24="P9"),AM24&lt;&gt;"R0"),"T17/P9 harus R0; ","")&amp;IF(AND(AN24="T01",AO24&lt;&gt;"P6"),"T01 biasanya P6 (periksa); ","")&amp;IF(AND(AO24="P1",AQ24&lt;&gt;"K4"),"P1 biasanya K4 (periksa); ","")="","OK",IF(AND(AM24="R0",AQ24&lt;&gt;"K5"),"R0 harus K5; ","")&amp;IF(AND(AM24="R1",AQ24="K3"),"R1 tidak boleh K3 (fungsional); ","")&amp;IF(AND(AM24="R2",AQ24="K5"),"R2 tidak boleh K5; ","")&amp;IF(AND(AM24="R2",OR(AL24="S6",AL24="S7",AL24="S8")),"R2 tidak boleh S6/S7/S8; ","")&amp;IF(AND(AO24="P9",AN24&lt;&gt;"T17"),"P9 hanya dengan T17; ","")&amp;IF(AND(OR(AN24="T17",AO24="P9"),AM24&lt;&gt;"R0"),"T17/P9 harus R0; ","")&amp;IF(AND(AN24="T01",AO24&lt;&gt;"P6"),"T01 biasanya P6 (periksa); ","")&amp;IF(AND(AO24="P1",AQ24&lt;&gt;"K4"),"P1 biasanya K4 (periksa); ","")))</f>
        <v/>
      </c>
    </row>
    <row r="25" customFormat="false" ht="48" hidden="false" customHeight="true" outlineLevel="0" collapsed="false">
      <c r="A25" s="9" t="n">
        <v>22</v>
      </c>
      <c r="B25" s="10" t="str">
        <f aca="false">IF(INDEX(Korpus!$A:$A,$A25)="","",INDEX(Korpus!$A:$A,$A25))</f>
        <v/>
      </c>
      <c r="C25" s="10" t="str">
        <f aca="false">TRIM(INDEX(Korpus!$D:$D,$A25)&amp;" "&amp;INDEX(Korpus!$E:$E,$A25))</f>
        <v/>
      </c>
      <c r="D25" s="10" t="str">
        <f aca="false">IF(INDEX(Korpus!$B:$B,$A25)="","",INDEX(Korpus!$B:$B,$A25))</f>
        <v/>
      </c>
      <c r="E25" s="10" t="str">
        <f aca="false">IF(INDEX(Korpus!$C:$C,$A25)="","",INDEX(Korpus!$C:$C,$A25))</f>
        <v/>
      </c>
      <c r="F25" s="10" t="str">
        <f aca="false">IF(INDEX(Korpus!$F:$F,$A25)="","",INDEX(Korpus!$F:$F,$A25))</f>
        <v/>
      </c>
      <c r="G25" s="11" t="s">
        <v>91</v>
      </c>
      <c r="H25" s="11" t="s">
        <v>83</v>
      </c>
      <c r="I25" s="11" t="s">
        <v>92</v>
      </c>
      <c r="J25" s="11" t="s">
        <v>93</v>
      </c>
      <c r="K25" s="11" t="s">
        <v>86</v>
      </c>
      <c r="L25" s="11" t="s">
        <v>94</v>
      </c>
      <c r="M25" s="12"/>
      <c r="N25" s="12"/>
      <c r="O25" s="12"/>
      <c r="P25" s="12"/>
      <c r="Q25" s="12"/>
      <c r="R25" s="12"/>
      <c r="S25" s="13"/>
      <c r="T25" s="13"/>
      <c r="U25" s="13"/>
      <c r="V25" s="13"/>
      <c r="W25" s="13"/>
      <c r="X25" s="13"/>
      <c r="Y25" s="9" t="str">
        <f aca="false">IF(OR(M25="",S25=""),"",IF(M25=S25,"Sama","Beda"))</f>
        <v/>
      </c>
      <c r="Z25" s="9" t="str">
        <f aca="false">IF(OR(N25="",T25=""),"",IF(N25=T25,"Sama","Beda"))</f>
        <v/>
      </c>
      <c r="AA25" s="9" t="str">
        <f aca="false">IF(OR(O25="",U25=""),"",IF(O25=U25,"Sama","Beda"))</f>
        <v/>
      </c>
      <c r="AB25" s="9" t="str">
        <f aca="false">IF(OR(P25="",V25=""),"",IF(P25=V25,"Sama","Beda"))</f>
        <v/>
      </c>
      <c r="AC25" s="9" t="str">
        <f aca="false">IF(OR(Q25="",W25=""),"",IF(Q25=W25,"Sama","Beda"))</f>
        <v/>
      </c>
      <c r="AD25" s="9" t="str">
        <f aca="false">IF(OR(R25="",X25=""),"",IF(R25=X25,"Sama","Beda"))</f>
        <v/>
      </c>
      <c r="AE25" s="9" t="n">
        <f aca="false">COUNTIF(Y25:AD25,"Beda")</f>
        <v>0</v>
      </c>
      <c r="AF25" s="14"/>
      <c r="AG25" s="14"/>
      <c r="AH25" s="14"/>
      <c r="AI25" s="14"/>
      <c r="AJ25" s="14"/>
      <c r="AK25" s="14"/>
      <c r="AL25" s="15" t="str">
        <f aca="false">IF(AF25&lt;&gt;"",AF25,IF(AND(M25&lt;&gt;"",M25=S25),M25,""))</f>
        <v/>
      </c>
      <c r="AM25" s="15" t="str">
        <f aca="false">IF(AG25&lt;&gt;"",AG25,IF(AND(N25&lt;&gt;"",N25=T25),N25,""))</f>
        <v/>
      </c>
      <c r="AN25" s="15" t="str">
        <f aca="false">IF(AH25&lt;&gt;"",AH25,IF(AND(O25&lt;&gt;"",O25=U25),O25,""))</f>
        <v/>
      </c>
      <c r="AO25" s="15" t="str">
        <f aca="false">IF(AI25&lt;&gt;"",AI25,IF(AND(P25&lt;&gt;"",P25=V25),P25,""))</f>
        <v/>
      </c>
      <c r="AP25" s="15" t="str">
        <f aca="false">IF(AJ25&lt;&gt;"",AJ25,IF(AND(Q25&lt;&gt;"",Q25=W25),Q25,""))</f>
        <v/>
      </c>
      <c r="AQ25" s="15" t="str">
        <f aca="false">IF(AK25&lt;&gt;"",AK25,IF(AND(R25&lt;&gt;"",R25=X25),R25,""))</f>
        <v/>
      </c>
      <c r="AR25" s="16"/>
      <c r="AS25" s="9" t="str">
        <f aca="false">IF(COUNTA(M25:R25)+COUNTA(S25:X25)&lt;12,"Menunggu coder",IF(AE25=0,"Sepakat",IF(SUMPRODUCT((Y25:AD25="Beda")*(AF25:AK25=""))=0,"Selesai adjudikasi","Perlu adjudikasi")))</f>
        <v>Menunggu coder</v>
      </c>
      <c r="AT25" s="10" t="str">
        <f aca="false">IF(COUNTIF(AL25:AQ25,"?*")&lt;6,"",IF(IF(AND(AM25="R0",AQ25&lt;&gt;"K5"),"R0 harus K5; ","")&amp;IF(AND(AM25="R1",AQ25="K3"),"R1 tidak boleh K3 (fungsional); ","")&amp;IF(AND(AM25="R2",AQ25="K5"),"R2 tidak boleh K5; ","")&amp;IF(AND(AM25="R2",OR(AL25="S6",AL25="S7",AL25="S8")),"R2 tidak boleh S6/S7/S8; ","")&amp;IF(AND(AO25="P9",AN25&lt;&gt;"T17"),"P9 hanya dengan T17; ","")&amp;IF(AND(OR(AN25="T17",AO25="P9"),AM25&lt;&gt;"R0"),"T17/P9 harus R0; ","")&amp;IF(AND(AN25="T01",AO25&lt;&gt;"P6"),"T01 biasanya P6 (periksa); ","")&amp;IF(AND(AO25="P1",AQ25&lt;&gt;"K4"),"P1 biasanya K4 (periksa); ","")="","OK",IF(AND(AM25="R0",AQ25&lt;&gt;"K5"),"R0 harus K5; ","")&amp;IF(AND(AM25="R1",AQ25="K3"),"R1 tidak boleh K3 (fungsional); ","")&amp;IF(AND(AM25="R2",AQ25="K5"),"R2 tidak boleh K5; ","")&amp;IF(AND(AM25="R2",OR(AL25="S6",AL25="S7",AL25="S8")),"R2 tidak boleh S6/S7/S8; ","")&amp;IF(AND(AO25="P9",AN25&lt;&gt;"T17"),"P9 hanya dengan T17; ","")&amp;IF(AND(OR(AN25="T17",AO25="P9"),AM25&lt;&gt;"R0"),"T17/P9 harus R0; ","")&amp;IF(AND(AN25="T01",AO25&lt;&gt;"P6"),"T01 biasanya P6 (periksa); ","")&amp;IF(AND(AO25="P1",AQ25&lt;&gt;"K4"),"P1 biasanya K4 (periksa); ","")))</f>
        <v/>
      </c>
    </row>
    <row r="26" customFormat="false" ht="48" hidden="false" customHeight="true" outlineLevel="0" collapsed="false">
      <c r="A26" s="9" t="n">
        <v>23</v>
      </c>
      <c r="B26" s="10" t="str">
        <f aca="false">IF(INDEX(Korpus!$A:$A,$A26)="","",INDEX(Korpus!$A:$A,$A26))</f>
        <v/>
      </c>
      <c r="C26" s="10" t="str">
        <f aca="false">TRIM(INDEX(Korpus!$D:$D,$A26)&amp;" "&amp;INDEX(Korpus!$E:$E,$A26))</f>
        <v/>
      </c>
      <c r="D26" s="10" t="str">
        <f aca="false">IF(INDEX(Korpus!$B:$B,$A26)="","",INDEX(Korpus!$B:$B,$A26))</f>
        <v/>
      </c>
      <c r="E26" s="10" t="str">
        <f aca="false">IF(INDEX(Korpus!$C:$C,$A26)="","",INDEX(Korpus!$C:$C,$A26))</f>
        <v/>
      </c>
      <c r="F26" s="10" t="str">
        <f aca="false">IF(INDEX(Korpus!$F:$F,$A26)="","",INDEX(Korpus!$F:$F,$A26))</f>
        <v/>
      </c>
      <c r="G26" s="11"/>
      <c r="H26" s="11"/>
      <c r="I26" s="11"/>
      <c r="J26" s="11"/>
      <c r="K26" s="11"/>
      <c r="L26" s="11"/>
      <c r="M26" s="12"/>
      <c r="N26" s="12"/>
      <c r="O26" s="12"/>
      <c r="P26" s="12"/>
      <c r="Q26" s="12"/>
      <c r="R26" s="12"/>
      <c r="S26" s="13"/>
      <c r="T26" s="13"/>
      <c r="U26" s="13"/>
      <c r="V26" s="13"/>
      <c r="W26" s="13"/>
      <c r="X26" s="13"/>
      <c r="Y26" s="9" t="str">
        <f aca="false">IF(OR(M26="",S26=""),"",IF(M26=S26,"Sama","Beda"))</f>
        <v/>
      </c>
      <c r="Z26" s="9" t="str">
        <f aca="false">IF(OR(N26="",T26=""),"",IF(N26=T26,"Sama","Beda"))</f>
        <v/>
      </c>
      <c r="AA26" s="9" t="str">
        <f aca="false">IF(OR(O26="",U26=""),"",IF(O26=U26,"Sama","Beda"))</f>
        <v/>
      </c>
      <c r="AB26" s="9" t="str">
        <f aca="false">IF(OR(P26="",V26=""),"",IF(P26=V26,"Sama","Beda"))</f>
        <v/>
      </c>
      <c r="AC26" s="9" t="str">
        <f aca="false">IF(OR(Q26="",W26=""),"",IF(Q26=W26,"Sama","Beda"))</f>
        <v/>
      </c>
      <c r="AD26" s="9" t="str">
        <f aca="false">IF(OR(R26="",X26=""),"",IF(R26=X26,"Sama","Beda"))</f>
        <v/>
      </c>
      <c r="AE26" s="9" t="n">
        <f aca="false">COUNTIF(Y26:AD26,"Beda")</f>
        <v>0</v>
      </c>
      <c r="AF26" s="14"/>
      <c r="AG26" s="14"/>
      <c r="AH26" s="14"/>
      <c r="AI26" s="14"/>
      <c r="AJ26" s="14"/>
      <c r="AK26" s="14"/>
      <c r="AL26" s="15" t="str">
        <f aca="false">IF(AF26&lt;&gt;"",AF26,IF(AND(M26&lt;&gt;"",M26=S26),M26,""))</f>
        <v/>
      </c>
      <c r="AM26" s="15" t="str">
        <f aca="false">IF(AG26&lt;&gt;"",AG26,IF(AND(N26&lt;&gt;"",N26=T26),N26,""))</f>
        <v/>
      </c>
      <c r="AN26" s="15" t="str">
        <f aca="false">IF(AH26&lt;&gt;"",AH26,IF(AND(O26&lt;&gt;"",O26=U26),O26,""))</f>
        <v/>
      </c>
      <c r="AO26" s="15" t="str">
        <f aca="false">IF(AI26&lt;&gt;"",AI26,IF(AND(P26&lt;&gt;"",P26=V26),P26,""))</f>
        <v/>
      </c>
      <c r="AP26" s="15" t="str">
        <f aca="false">IF(AJ26&lt;&gt;"",AJ26,IF(AND(Q26&lt;&gt;"",Q26=W26),Q26,""))</f>
        <v/>
      </c>
      <c r="AQ26" s="15" t="str">
        <f aca="false">IF(AK26&lt;&gt;"",AK26,IF(AND(R26&lt;&gt;"",R26=X26),R26,""))</f>
        <v/>
      </c>
      <c r="AR26" s="16"/>
      <c r="AS26" s="9" t="str">
        <f aca="false">IF(COUNTA(M26:R26)+COUNTA(S26:X26)&lt;12,"Menunggu coder",IF(AE26=0,"Sepakat",IF(SUMPRODUCT((Y26:AD26="Beda")*(AF26:AK26=""))=0,"Selesai adjudikasi","Perlu adjudikasi")))</f>
        <v>Menunggu coder</v>
      </c>
      <c r="AT26" s="10" t="str">
        <f aca="false">IF(COUNTIF(AL26:AQ26,"?*")&lt;6,"",IF(IF(AND(AM26="R0",AQ26&lt;&gt;"K5"),"R0 harus K5; ","")&amp;IF(AND(AM26="R1",AQ26="K3"),"R1 tidak boleh K3 (fungsional); ","")&amp;IF(AND(AM26="R2",AQ26="K5"),"R2 tidak boleh K5; ","")&amp;IF(AND(AM26="R2",OR(AL26="S6",AL26="S7",AL26="S8")),"R2 tidak boleh S6/S7/S8; ","")&amp;IF(AND(AO26="P9",AN26&lt;&gt;"T17"),"P9 hanya dengan T17; ","")&amp;IF(AND(OR(AN26="T17",AO26="P9"),AM26&lt;&gt;"R0"),"T17/P9 harus R0; ","")&amp;IF(AND(AN26="T01",AO26&lt;&gt;"P6"),"T01 biasanya P6 (periksa); ","")&amp;IF(AND(AO26="P1",AQ26&lt;&gt;"K4"),"P1 biasanya K4 (periksa); ","")="","OK",IF(AND(AM26="R0",AQ26&lt;&gt;"K5"),"R0 harus K5; ","")&amp;IF(AND(AM26="R1",AQ26="K3"),"R1 tidak boleh K3 (fungsional); ","")&amp;IF(AND(AM26="R2",AQ26="K5"),"R2 tidak boleh K5; ","")&amp;IF(AND(AM26="R2",OR(AL26="S6",AL26="S7",AL26="S8")),"R2 tidak boleh S6/S7/S8; ","")&amp;IF(AND(AO26="P9",AN26&lt;&gt;"T17"),"P9 hanya dengan T17; ","")&amp;IF(AND(OR(AN26="T17",AO26="P9"),AM26&lt;&gt;"R0"),"T17/P9 harus R0; ","")&amp;IF(AND(AN26="T01",AO26&lt;&gt;"P6"),"T01 biasanya P6 (periksa); ","")&amp;IF(AND(AO26="P1",AQ26&lt;&gt;"K4"),"P1 biasanya K4 (periksa); ","")))</f>
        <v/>
      </c>
    </row>
    <row r="27" customFormat="false" ht="48" hidden="false" customHeight="true" outlineLevel="0" collapsed="false">
      <c r="A27" s="9" t="n">
        <v>24</v>
      </c>
      <c r="B27" s="10" t="str">
        <f aca="false">IF(INDEX(Korpus!$A:$A,$A27)="","",INDEX(Korpus!$A:$A,$A27))</f>
        <v/>
      </c>
      <c r="C27" s="10" t="str">
        <f aca="false">TRIM(INDEX(Korpus!$D:$D,$A27)&amp;" "&amp;INDEX(Korpus!$E:$E,$A27))</f>
        <v/>
      </c>
      <c r="D27" s="10" t="str">
        <f aca="false">IF(INDEX(Korpus!$B:$B,$A27)="","",INDEX(Korpus!$B:$B,$A27))</f>
        <v/>
      </c>
      <c r="E27" s="10" t="str">
        <f aca="false">IF(INDEX(Korpus!$C:$C,$A27)="","",INDEX(Korpus!$C:$C,$A27))</f>
        <v/>
      </c>
      <c r="F27" s="10" t="str">
        <f aca="false">IF(INDEX(Korpus!$F:$F,$A27)="","",INDEX(Korpus!$F:$F,$A27))</f>
        <v/>
      </c>
      <c r="G27" s="11"/>
      <c r="H27" s="11"/>
      <c r="I27" s="11"/>
      <c r="J27" s="11"/>
      <c r="K27" s="11"/>
      <c r="L27" s="11"/>
      <c r="M27" s="12"/>
      <c r="N27" s="12"/>
      <c r="O27" s="12"/>
      <c r="P27" s="12"/>
      <c r="Q27" s="12"/>
      <c r="R27" s="12"/>
      <c r="S27" s="13"/>
      <c r="T27" s="13"/>
      <c r="U27" s="13"/>
      <c r="V27" s="13"/>
      <c r="W27" s="13"/>
      <c r="X27" s="13"/>
      <c r="Y27" s="9" t="str">
        <f aca="false">IF(OR(M27="",S27=""),"",IF(M27=S27,"Sama","Beda"))</f>
        <v/>
      </c>
      <c r="Z27" s="9" t="str">
        <f aca="false">IF(OR(N27="",T27=""),"",IF(N27=T27,"Sama","Beda"))</f>
        <v/>
      </c>
      <c r="AA27" s="9" t="str">
        <f aca="false">IF(OR(O27="",U27=""),"",IF(O27=U27,"Sama","Beda"))</f>
        <v/>
      </c>
      <c r="AB27" s="9" t="str">
        <f aca="false">IF(OR(P27="",V27=""),"",IF(P27=V27,"Sama","Beda"))</f>
        <v/>
      </c>
      <c r="AC27" s="9" t="str">
        <f aca="false">IF(OR(Q27="",W27=""),"",IF(Q27=W27,"Sama","Beda"))</f>
        <v/>
      </c>
      <c r="AD27" s="9" t="str">
        <f aca="false">IF(OR(R27="",X27=""),"",IF(R27=X27,"Sama","Beda"))</f>
        <v/>
      </c>
      <c r="AE27" s="9" t="n">
        <f aca="false">COUNTIF(Y27:AD27,"Beda")</f>
        <v>0</v>
      </c>
      <c r="AF27" s="14"/>
      <c r="AG27" s="14"/>
      <c r="AH27" s="14"/>
      <c r="AI27" s="14"/>
      <c r="AJ27" s="14"/>
      <c r="AK27" s="14"/>
      <c r="AL27" s="15" t="str">
        <f aca="false">IF(AF27&lt;&gt;"",AF27,IF(AND(M27&lt;&gt;"",M27=S27),M27,""))</f>
        <v/>
      </c>
      <c r="AM27" s="15" t="str">
        <f aca="false">IF(AG27&lt;&gt;"",AG27,IF(AND(N27&lt;&gt;"",N27=T27),N27,""))</f>
        <v/>
      </c>
      <c r="AN27" s="15" t="str">
        <f aca="false">IF(AH27&lt;&gt;"",AH27,IF(AND(O27&lt;&gt;"",O27=U27),O27,""))</f>
        <v/>
      </c>
      <c r="AO27" s="15" t="str">
        <f aca="false">IF(AI27&lt;&gt;"",AI27,IF(AND(P27&lt;&gt;"",P27=V27),P27,""))</f>
        <v/>
      </c>
      <c r="AP27" s="15" t="str">
        <f aca="false">IF(AJ27&lt;&gt;"",AJ27,IF(AND(Q27&lt;&gt;"",Q27=W27),Q27,""))</f>
        <v/>
      </c>
      <c r="AQ27" s="15" t="str">
        <f aca="false">IF(AK27&lt;&gt;"",AK27,IF(AND(R27&lt;&gt;"",R27=X27),R27,""))</f>
        <v/>
      </c>
      <c r="AR27" s="16"/>
      <c r="AS27" s="9" t="str">
        <f aca="false">IF(COUNTA(M27:R27)+COUNTA(S27:X27)&lt;12,"Menunggu coder",IF(AE27=0,"Sepakat",IF(SUMPRODUCT((Y27:AD27="Beda")*(AF27:AK27=""))=0,"Selesai adjudikasi","Perlu adjudikasi")))</f>
        <v>Menunggu coder</v>
      </c>
      <c r="AT27" s="10" t="str">
        <f aca="false">IF(COUNTIF(AL27:AQ27,"?*")&lt;6,"",IF(IF(AND(AM27="R0",AQ27&lt;&gt;"K5"),"R0 harus K5; ","")&amp;IF(AND(AM27="R1",AQ27="K3"),"R1 tidak boleh K3 (fungsional); ","")&amp;IF(AND(AM27="R2",AQ27="K5"),"R2 tidak boleh K5; ","")&amp;IF(AND(AM27="R2",OR(AL27="S6",AL27="S7",AL27="S8")),"R2 tidak boleh S6/S7/S8; ","")&amp;IF(AND(AO27="P9",AN27&lt;&gt;"T17"),"P9 hanya dengan T17; ","")&amp;IF(AND(OR(AN27="T17",AO27="P9"),AM27&lt;&gt;"R0"),"T17/P9 harus R0; ","")&amp;IF(AND(AN27="T01",AO27&lt;&gt;"P6"),"T01 biasanya P6 (periksa); ","")&amp;IF(AND(AO27="P1",AQ27&lt;&gt;"K4"),"P1 biasanya K4 (periksa); ","")="","OK",IF(AND(AM27="R0",AQ27&lt;&gt;"K5"),"R0 harus K5; ","")&amp;IF(AND(AM27="R1",AQ27="K3"),"R1 tidak boleh K3 (fungsional); ","")&amp;IF(AND(AM27="R2",AQ27="K5"),"R2 tidak boleh K5; ","")&amp;IF(AND(AM27="R2",OR(AL27="S6",AL27="S7",AL27="S8")),"R2 tidak boleh S6/S7/S8; ","")&amp;IF(AND(AO27="P9",AN27&lt;&gt;"T17"),"P9 hanya dengan T17; ","")&amp;IF(AND(OR(AN27="T17",AO27="P9"),AM27&lt;&gt;"R0"),"T17/P9 harus R0; ","")&amp;IF(AND(AN27="T01",AO27&lt;&gt;"P6"),"T01 biasanya P6 (periksa); ","")&amp;IF(AND(AO27="P1",AQ27&lt;&gt;"K4"),"P1 biasanya K4 (periksa); ","")))</f>
        <v/>
      </c>
    </row>
    <row r="28" customFormat="false" ht="48" hidden="false" customHeight="true" outlineLevel="0" collapsed="false">
      <c r="A28" s="9" t="n">
        <v>25</v>
      </c>
      <c r="B28" s="10" t="str">
        <f aca="false">IF(INDEX(Korpus!$A:$A,$A28)="","",INDEX(Korpus!$A:$A,$A28))</f>
        <v/>
      </c>
      <c r="C28" s="10" t="str">
        <f aca="false">TRIM(INDEX(Korpus!$D:$D,$A28)&amp;" "&amp;INDEX(Korpus!$E:$E,$A28))</f>
        <v/>
      </c>
      <c r="D28" s="10" t="str">
        <f aca="false">IF(INDEX(Korpus!$B:$B,$A28)="","",INDEX(Korpus!$B:$B,$A28))</f>
        <v/>
      </c>
      <c r="E28" s="10" t="str">
        <f aca="false">IF(INDEX(Korpus!$C:$C,$A28)="","",INDEX(Korpus!$C:$C,$A28))</f>
        <v/>
      </c>
      <c r="F28" s="10" t="str">
        <f aca="false">IF(INDEX(Korpus!$F:$F,$A28)="","",INDEX(Korpus!$F:$F,$A28))</f>
        <v/>
      </c>
      <c r="G28" s="11"/>
      <c r="H28" s="11"/>
      <c r="I28" s="11"/>
      <c r="J28" s="11"/>
      <c r="K28" s="11"/>
      <c r="L28" s="11"/>
      <c r="M28" s="12"/>
      <c r="N28" s="12"/>
      <c r="O28" s="12"/>
      <c r="P28" s="12"/>
      <c r="Q28" s="12"/>
      <c r="R28" s="12"/>
      <c r="S28" s="13"/>
      <c r="T28" s="13"/>
      <c r="U28" s="13"/>
      <c r="V28" s="13"/>
      <c r="W28" s="13"/>
      <c r="X28" s="13"/>
      <c r="Y28" s="9" t="str">
        <f aca="false">IF(OR(M28="",S28=""),"",IF(M28=S28,"Sama","Beda"))</f>
        <v/>
      </c>
      <c r="Z28" s="9" t="str">
        <f aca="false">IF(OR(N28="",T28=""),"",IF(N28=T28,"Sama","Beda"))</f>
        <v/>
      </c>
      <c r="AA28" s="9" t="str">
        <f aca="false">IF(OR(O28="",U28=""),"",IF(O28=U28,"Sama","Beda"))</f>
        <v/>
      </c>
      <c r="AB28" s="9" t="str">
        <f aca="false">IF(OR(P28="",V28=""),"",IF(P28=V28,"Sama","Beda"))</f>
        <v/>
      </c>
      <c r="AC28" s="9" t="str">
        <f aca="false">IF(OR(Q28="",W28=""),"",IF(Q28=W28,"Sama","Beda"))</f>
        <v/>
      </c>
      <c r="AD28" s="9" t="str">
        <f aca="false">IF(OR(R28="",X28=""),"",IF(R28=X28,"Sama","Beda"))</f>
        <v/>
      </c>
      <c r="AE28" s="9" t="n">
        <f aca="false">COUNTIF(Y28:AD28,"Beda")</f>
        <v>0</v>
      </c>
      <c r="AF28" s="14"/>
      <c r="AG28" s="14"/>
      <c r="AH28" s="14"/>
      <c r="AI28" s="14"/>
      <c r="AJ28" s="14"/>
      <c r="AK28" s="14"/>
      <c r="AL28" s="15" t="str">
        <f aca="false">IF(AF28&lt;&gt;"",AF28,IF(AND(M28&lt;&gt;"",M28=S28),M28,""))</f>
        <v/>
      </c>
      <c r="AM28" s="15" t="str">
        <f aca="false">IF(AG28&lt;&gt;"",AG28,IF(AND(N28&lt;&gt;"",N28=T28),N28,""))</f>
        <v/>
      </c>
      <c r="AN28" s="15" t="str">
        <f aca="false">IF(AH28&lt;&gt;"",AH28,IF(AND(O28&lt;&gt;"",O28=U28),O28,""))</f>
        <v/>
      </c>
      <c r="AO28" s="15" t="str">
        <f aca="false">IF(AI28&lt;&gt;"",AI28,IF(AND(P28&lt;&gt;"",P28=V28),P28,""))</f>
        <v/>
      </c>
      <c r="AP28" s="15" t="str">
        <f aca="false">IF(AJ28&lt;&gt;"",AJ28,IF(AND(Q28&lt;&gt;"",Q28=W28),Q28,""))</f>
        <v/>
      </c>
      <c r="AQ28" s="15" t="str">
        <f aca="false">IF(AK28&lt;&gt;"",AK28,IF(AND(R28&lt;&gt;"",R28=X28),R28,""))</f>
        <v/>
      </c>
      <c r="AR28" s="16"/>
      <c r="AS28" s="9" t="str">
        <f aca="false">IF(COUNTA(M28:R28)+COUNTA(S28:X28)&lt;12,"Menunggu coder",IF(AE28=0,"Sepakat",IF(SUMPRODUCT((Y28:AD28="Beda")*(AF28:AK28=""))=0,"Selesai adjudikasi","Perlu adjudikasi")))</f>
        <v>Menunggu coder</v>
      </c>
      <c r="AT28" s="10" t="str">
        <f aca="false">IF(COUNTIF(AL28:AQ28,"?*")&lt;6,"",IF(IF(AND(AM28="R0",AQ28&lt;&gt;"K5"),"R0 harus K5; ","")&amp;IF(AND(AM28="R1",AQ28="K3"),"R1 tidak boleh K3 (fungsional); ","")&amp;IF(AND(AM28="R2",AQ28="K5"),"R2 tidak boleh K5; ","")&amp;IF(AND(AM28="R2",OR(AL28="S6",AL28="S7",AL28="S8")),"R2 tidak boleh S6/S7/S8; ","")&amp;IF(AND(AO28="P9",AN28&lt;&gt;"T17"),"P9 hanya dengan T17; ","")&amp;IF(AND(OR(AN28="T17",AO28="P9"),AM28&lt;&gt;"R0"),"T17/P9 harus R0; ","")&amp;IF(AND(AN28="T01",AO28&lt;&gt;"P6"),"T01 biasanya P6 (periksa); ","")&amp;IF(AND(AO28="P1",AQ28&lt;&gt;"K4"),"P1 biasanya K4 (periksa); ","")="","OK",IF(AND(AM28="R0",AQ28&lt;&gt;"K5"),"R0 harus K5; ","")&amp;IF(AND(AM28="R1",AQ28="K3"),"R1 tidak boleh K3 (fungsional); ","")&amp;IF(AND(AM28="R2",AQ28="K5"),"R2 tidak boleh K5; ","")&amp;IF(AND(AM28="R2",OR(AL28="S6",AL28="S7",AL28="S8")),"R2 tidak boleh S6/S7/S8; ","")&amp;IF(AND(AO28="P9",AN28&lt;&gt;"T17"),"P9 hanya dengan T17; ","")&amp;IF(AND(OR(AN28="T17",AO28="P9"),AM28&lt;&gt;"R0"),"T17/P9 harus R0; ","")&amp;IF(AND(AN28="T01",AO28&lt;&gt;"P6"),"T01 biasanya P6 (periksa); ","")&amp;IF(AND(AO28="P1",AQ28&lt;&gt;"K4"),"P1 biasanya K4 (periksa); ","")))</f>
        <v/>
      </c>
    </row>
    <row r="29" customFormat="false" ht="48" hidden="false" customHeight="true" outlineLevel="0" collapsed="false">
      <c r="A29" s="9" t="n">
        <v>26</v>
      </c>
      <c r="B29" s="10" t="str">
        <f aca="false">IF(INDEX(Korpus!$A:$A,$A29)="","",INDEX(Korpus!$A:$A,$A29))</f>
        <v/>
      </c>
      <c r="C29" s="10" t="str">
        <f aca="false">TRIM(INDEX(Korpus!$D:$D,$A29)&amp;" "&amp;INDEX(Korpus!$E:$E,$A29))</f>
        <v/>
      </c>
      <c r="D29" s="10" t="str">
        <f aca="false">IF(INDEX(Korpus!$B:$B,$A29)="","",INDEX(Korpus!$B:$B,$A29))</f>
        <v/>
      </c>
      <c r="E29" s="10" t="str">
        <f aca="false">IF(INDEX(Korpus!$C:$C,$A29)="","",INDEX(Korpus!$C:$C,$A29))</f>
        <v/>
      </c>
      <c r="F29" s="10" t="str">
        <f aca="false">IF(INDEX(Korpus!$F:$F,$A29)="","",INDEX(Korpus!$F:$F,$A29))</f>
        <v/>
      </c>
      <c r="G29" s="11"/>
      <c r="H29" s="11"/>
      <c r="I29" s="11"/>
      <c r="J29" s="11"/>
      <c r="K29" s="11"/>
      <c r="L29" s="11"/>
      <c r="M29" s="12"/>
      <c r="N29" s="12"/>
      <c r="O29" s="12"/>
      <c r="P29" s="12"/>
      <c r="Q29" s="12"/>
      <c r="R29" s="12"/>
      <c r="S29" s="13"/>
      <c r="T29" s="13"/>
      <c r="U29" s="13"/>
      <c r="V29" s="13"/>
      <c r="W29" s="13"/>
      <c r="X29" s="13"/>
      <c r="Y29" s="9" t="str">
        <f aca="false">IF(OR(M29="",S29=""),"",IF(M29=S29,"Sama","Beda"))</f>
        <v/>
      </c>
      <c r="Z29" s="9" t="str">
        <f aca="false">IF(OR(N29="",T29=""),"",IF(N29=T29,"Sama","Beda"))</f>
        <v/>
      </c>
      <c r="AA29" s="9" t="str">
        <f aca="false">IF(OR(O29="",U29=""),"",IF(O29=U29,"Sama","Beda"))</f>
        <v/>
      </c>
      <c r="AB29" s="9" t="str">
        <f aca="false">IF(OR(P29="",V29=""),"",IF(P29=V29,"Sama","Beda"))</f>
        <v/>
      </c>
      <c r="AC29" s="9" t="str">
        <f aca="false">IF(OR(Q29="",W29=""),"",IF(Q29=W29,"Sama","Beda"))</f>
        <v/>
      </c>
      <c r="AD29" s="9" t="str">
        <f aca="false">IF(OR(R29="",X29=""),"",IF(R29=X29,"Sama","Beda"))</f>
        <v/>
      </c>
      <c r="AE29" s="9" t="n">
        <f aca="false">COUNTIF(Y29:AD29,"Beda")</f>
        <v>0</v>
      </c>
      <c r="AF29" s="14"/>
      <c r="AG29" s="14"/>
      <c r="AH29" s="14"/>
      <c r="AI29" s="14"/>
      <c r="AJ29" s="14"/>
      <c r="AK29" s="14"/>
      <c r="AL29" s="15" t="str">
        <f aca="false">IF(AF29&lt;&gt;"",AF29,IF(AND(M29&lt;&gt;"",M29=S29),M29,""))</f>
        <v/>
      </c>
      <c r="AM29" s="15" t="str">
        <f aca="false">IF(AG29&lt;&gt;"",AG29,IF(AND(N29&lt;&gt;"",N29=T29),N29,""))</f>
        <v/>
      </c>
      <c r="AN29" s="15" t="str">
        <f aca="false">IF(AH29&lt;&gt;"",AH29,IF(AND(O29&lt;&gt;"",O29=U29),O29,""))</f>
        <v/>
      </c>
      <c r="AO29" s="15" t="str">
        <f aca="false">IF(AI29&lt;&gt;"",AI29,IF(AND(P29&lt;&gt;"",P29=V29),P29,""))</f>
        <v/>
      </c>
      <c r="AP29" s="15" t="str">
        <f aca="false">IF(AJ29&lt;&gt;"",AJ29,IF(AND(Q29&lt;&gt;"",Q29=W29),Q29,""))</f>
        <v/>
      </c>
      <c r="AQ29" s="15" t="str">
        <f aca="false">IF(AK29&lt;&gt;"",AK29,IF(AND(R29&lt;&gt;"",R29=X29),R29,""))</f>
        <v/>
      </c>
      <c r="AR29" s="16"/>
      <c r="AS29" s="9" t="str">
        <f aca="false">IF(COUNTA(M29:R29)+COUNTA(S29:X29)&lt;12,"Menunggu coder",IF(AE29=0,"Sepakat",IF(SUMPRODUCT((Y29:AD29="Beda")*(AF29:AK29=""))=0,"Selesai adjudikasi","Perlu adjudikasi")))</f>
        <v>Menunggu coder</v>
      </c>
      <c r="AT29" s="10" t="str">
        <f aca="false">IF(COUNTIF(AL29:AQ29,"?*")&lt;6,"",IF(IF(AND(AM29="R0",AQ29&lt;&gt;"K5"),"R0 harus K5; ","")&amp;IF(AND(AM29="R1",AQ29="K3"),"R1 tidak boleh K3 (fungsional); ","")&amp;IF(AND(AM29="R2",AQ29="K5"),"R2 tidak boleh K5; ","")&amp;IF(AND(AM29="R2",OR(AL29="S6",AL29="S7",AL29="S8")),"R2 tidak boleh S6/S7/S8; ","")&amp;IF(AND(AO29="P9",AN29&lt;&gt;"T17"),"P9 hanya dengan T17; ","")&amp;IF(AND(OR(AN29="T17",AO29="P9"),AM29&lt;&gt;"R0"),"T17/P9 harus R0; ","")&amp;IF(AND(AN29="T01",AO29&lt;&gt;"P6"),"T01 biasanya P6 (periksa); ","")&amp;IF(AND(AO29="P1",AQ29&lt;&gt;"K4"),"P1 biasanya K4 (periksa); ","")="","OK",IF(AND(AM29="R0",AQ29&lt;&gt;"K5"),"R0 harus K5; ","")&amp;IF(AND(AM29="R1",AQ29="K3"),"R1 tidak boleh K3 (fungsional); ","")&amp;IF(AND(AM29="R2",AQ29="K5"),"R2 tidak boleh K5; ","")&amp;IF(AND(AM29="R2",OR(AL29="S6",AL29="S7",AL29="S8")),"R2 tidak boleh S6/S7/S8; ","")&amp;IF(AND(AO29="P9",AN29&lt;&gt;"T17"),"P9 hanya dengan T17; ","")&amp;IF(AND(OR(AN29="T17",AO29="P9"),AM29&lt;&gt;"R0"),"T17/P9 harus R0; ","")&amp;IF(AND(AN29="T01",AO29&lt;&gt;"P6"),"T01 biasanya P6 (periksa); ","")&amp;IF(AND(AO29="P1",AQ29&lt;&gt;"K4"),"P1 biasanya K4 (periksa); ","")))</f>
        <v/>
      </c>
    </row>
    <row r="30" customFormat="false" ht="48" hidden="false" customHeight="true" outlineLevel="0" collapsed="false">
      <c r="A30" s="9" t="n">
        <v>27</v>
      </c>
      <c r="B30" s="10" t="str">
        <f aca="false">IF(INDEX(Korpus!$A:$A,$A30)="","",INDEX(Korpus!$A:$A,$A30))</f>
        <v/>
      </c>
      <c r="C30" s="10" t="str">
        <f aca="false">TRIM(INDEX(Korpus!$D:$D,$A30)&amp;" "&amp;INDEX(Korpus!$E:$E,$A30))</f>
        <v/>
      </c>
      <c r="D30" s="10" t="str">
        <f aca="false">IF(INDEX(Korpus!$B:$B,$A30)="","",INDEX(Korpus!$B:$B,$A30))</f>
        <v/>
      </c>
      <c r="E30" s="10" t="str">
        <f aca="false">IF(INDEX(Korpus!$C:$C,$A30)="","",INDEX(Korpus!$C:$C,$A30))</f>
        <v/>
      </c>
      <c r="F30" s="10" t="str">
        <f aca="false">IF(INDEX(Korpus!$F:$F,$A30)="","",INDEX(Korpus!$F:$F,$A30))</f>
        <v/>
      </c>
      <c r="G30" s="11"/>
      <c r="H30" s="11"/>
      <c r="I30" s="11"/>
      <c r="J30" s="11"/>
      <c r="K30" s="11"/>
      <c r="L30" s="11"/>
      <c r="M30" s="12"/>
      <c r="N30" s="12"/>
      <c r="O30" s="12"/>
      <c r="P30" s="12"/>
      <c r="Q30" s="12"/>
      <c r="R30" s="12"/>
      <c r="S30" s="13"/>
      <c r="T30" s="13"/>
      <c r="U30" s="13"/>
      <c r="V30" s="13"/>
      <c r="W30" s="13"/>
      <c r="X30" s="13"/>
      <c r="Y30" s="9" t="str">
        <f aca="false">IF(OR(M30="",S30=""),"",IF(M30=S30,"Sama","Beda"))</f>
        <v/>
      </c>
      <c r="Z30" s="9" t="str">
        <f aca="false">IF(OR(N30="",T30=""),"",IF(N30=T30,"Sama","Beda"))</f>
        <v/>
      </c>
      <c r="AA30" s="9" t="str">
        <f aca="false">IF(OR(O30="",U30=""),"",IF(O30=U30,"Sama","Beda"))</f>
        <v/>
      </c>
      <c r="AB30" s="9" t="str">
        <f aca="false">IF(OR(P30="",V30=""),"",IF(P30=V30,"Sama","Beda"))</f>
        <v/>
      </c>
      <c r="AC30" s="9" t="str">
        <f aca="false">IF(OR(Q30="",W30=""),"",IF(Q30=W30,"Sama","Beda"))</f>
        <v/>
      </c>
      <c r="AD30" s="9" t="str">
        <f aca="false">IF(OR(R30="",X30=""),"",IF(R30=X30,"Sama","Beda"))</f>
        <v/>
      </c>
      <c r="AE30" s="9" t="n">
        <f aca="false">COUNTIF(Y30:AD30,"Beda")</f>
        <v>0</v>
      </c>
      <c r="AF30" s="14"/>
      <c r="AG30" s="14"/>
      <c r="AH30" s="14"/>
      <c r="AI30" s="14"/>
      <c r="AJ30" s="14"/>
      <c r="AK30" s="14"/>
      <c r="AL30" s="15" t="str">
        <f aca="false">IF(AF30&lt;&gt;"",AF30,IF(AND(M30&lt;&gt;"",M30=S30),M30,""))</f>
        <v/>
      </c>
      <c r="AM30" s="15" t="str">
        <f aca="false">IF(AG30&lt;&gt;"",AG30,IF(AND(N30&lt;&gt;"",N30=T30),N30,""))</f>
        <v/>
      </c>
      <c r="AN30" s="15" t="str">
        <f aca="false">IF(AH30&lt;&gt;"",AH30,IF(AND(O30&lt;&gt;"",O30=U30),O30,""))</f>
        <v/>
      </c>
      <c r="AO30" s="15" t="str">
        <f aca="false">IF(AI30&lt;&gt;"",AI30,IF(AND(P30&lt;&gt;"",P30=V30),P30,""))</f>
        <v/>
      </c>
      <c r="AP30" s="15" t="str">
        <f aca="false">IF(AJ30&lt;&gt;"",AJ30,IF(AND(Q30&lt;&gt;"",Q30=W30),Q30,""))</f>
        <v/>
      </c>
      <c r="AQ30" s="15" t="str">
        <f aca="false">IF(AK30&lt;&gt;"",AK30,IF(AND(R30&lt;&gt;"",R30=X30),R30,""))</f>
        <v/>
      </c>
      <c r="AR30" s="16"/>
      <c r="AS30" s="9" t="str">
        <f aca="false">IF(COUNTA(M30:R30)+COUNTA(S30:X30)&lt;12,"Menunggu coder",IF(AE30=0,"Sepakat",IF(SUMPRODUCT((Y30:AD30="Beda")*(AF30:AK30=""))=0,"Selesai adjudikasi","Perlu adjudikasi")))</f>
        <v>Menunggu coder</v>
      </c>
      <c r="AT30" s="10" t="str">
        <f aca="false">IF(COUNTIF(AL30:AQ30,"?*")&lt;6,"",IF(IF(AND(AM30="R0",AQ30&lt;&gt;"K5"),"R0 harus K5; ","")&amp;IF(AND(AM30="R1",AQ30="K3"),"R1 tidak boleh K3 (fungsional); ","")&amp;IF(AND(AM30="R2",AQ30="K5"),"R2 tidak boleh K5; ","")&amp;IF(AND(AM30="R2",OR(AL30="S6",AL30="S7",AL30="S8")),"R2 tidak boleh S6/S7/S8; ","")&amp;IF(AND(AO30="P9",AN30&lt;&gt;"T17"),"P9 hanya dengan T17; ","")&amp;IF(AND(OR(AN30="T17",AO30="P9"),AM30&lt;&gt;"R0"),"T17/P9 harus R0; ","")&amp;IF(AND(AN30="T01",AO30&lt;&gt;"P6"),"T01 biasanya P6 (periksa); ","")&amp;IF(AND(AO30="P1",AQ30&lt;&gt;"K4"),"P1 biasanya K4 (periksa); ","")="","OK",IF(AND(AM30="R0",AQ30&lt;&gt;"K5"),"R0 harus K5; ","")&amp;IF(AND(AM30="R1",AQ30="K3"),"R1 tidak boleh K3 (fungsional); ","")&amp;IF(AND(AM30="R2",AQ30="K5"),"R2 tidak boleh K5; ","")&amp;IF(AND(AM30="R2",OR(AL30="S6",AL30="S7",AL30="S8")),"R2 tidak boleh S6/S7/S8; ","")&amp;IF(AND(AO30="P9",AN30&lt;&gt;"T17"),"P9 hanya dengan T17; ","")&amp;IF(AND(OR(AN30="T17",AO30="P9"),AM30&lt;&gt;"R0"),"T17/P9 harus R0; ","")&amp;IF(AND(AN30="T01",AO30&lt;&gt;"P6"),"T01 biasanya P6 (periksa); ","")&amp;IF(AND(AO30="P1",AQ30&lt;&gt;"K4"),"P1 biasanya K4 (periksa); ","")))</f>
        <v/>
      </c>
    </row>
    <row r="31" customFormat="false" ht="48" hidden="false" customHeight="true" outlineLevel="0" collapsed="false">
      <c r="A31" s="9" t="n">
        <v>28</v>
      </c>
      <c r="B31" s="10" t="str">
        <f aca="false">IF(INDEX(Korpus!$A:$A,$A31)="","",INDEX(Korpus!$A:$A,$A31))</f>
        <v/>
      </c>
      <c r="C31" s="10" t="str">
        <f aca="false">TRIM(INDEX(Korpus!$D:$D,$A31)&amp;" "&amp;INDEX(Korpus!$E:$E,$A31))</f>
        <v/>
      </c>
      <c r="D31" s="10" t="str">
        <f aca="false">IF(INDEX(Korpus!$B:$B,$A31)="","",INDEX(Korpus!$B:$B,$A31))</f>
        <v/>
      </c>
      <c r="E31" s="10" t="str">
        <f aca="false">IF(INDEX(Korpus!$C:$C,$A31)="","",INDEX(Korpus!$C:$C,$A31))</f>
        <v/>
      </c>
      <c r="F31" s="10" t="str">
        <f aca="false">IF(INDEX(Korpus!$F:$F,$A31)="","",INDEX(Korpus!$F:$F,$A31))</f>
        <v/>
      </c>
      <c r="G31" s="11" t="s">
        <v>82</v>
      </c>
      <c r="H31" s="11" t="s">
        <v>83</v>
      </c>
      <c r="I31" s="11" t="s">
        <v>95</v>
      </c>
      <c r="J31" s="11" t="s">
        <v>96</v>
      </c>
      <c r="K31" s="11" t="s">
        <v>86</v>
      </c>
      <c r="L31" s="11" t="s">
        <v>97</v>
      </c>
      <c r="M31" s="12"/>
      <c r="N31" s="12"/>
      <c r="O31" s="12"/>
      <c r="P31" s="12"/>
      <c r="Q31" s="12"/>
      <c r="R31" s="12"/>
      <c r="S31" s="13"/>
      <c r="T31" s="13"/>
      <c r="U31" s="13"/>
      <c r="V31" s="13"/>
      <c r="W31" s="13"/>
      <c r="X31" s="13"/>
      <c r="Y31" s="9" t="str">
        <f aca="false">IF(OR(M31="",S31=""),"",IF(M31=S31,"Sama","Beda"))</f>
        <v/>
      </c>
      <c r="Z31" s="9" t="str">
        <f aca="false">IF(OR(N31="",T31=""),"",IF(N31=T31,"Sama","Beda"))</f>
        <v/>
      </c>
      <c r="AA31" s="9" t="str">
        <f aca="false">IF(OR(O31="",U31=""),"",IF(O31=U31,"Sama","Beda"))</f>
        <v/>
      </c>
      <c r="AB31" s="9" t="str">
        <f aca="false">IF(OR(P31="",V31=""),"",IF(P31=V31,"Sama","Beda"))</f>
        <v/>
      </c>
      <c r="AC31" s="9" t="str">
        <f aca="false">IF(OR(Q31="",W31=""),"",IF(Q31=W31,"Sama","Beda"))</f>
        <v/>
      </c>
      <c r="AD31" s="9" t="str">
        <f aca="false">IF(OR(R31="",X31=""),"",IF(R31=X31,"Sama","Beda"))</f>
        <v/>
      </c>
      <c r="AE31" s="9" t="n">
        <f aca="false">COUNTIF(Y31:AD31,"Beda")</f>
        <v>0</v>
      </c>
      <c r="AF31" s="14"/>
      <c r="AG31" s="14"/>
      <c r="AH31" s="14"/>
      <c r="AI31" s="14"/>
      <c r="AJ31" s="14"/>
      <c r="AK31" s="14"/>
      <c r="AL31" s="15" t="str">
        <f aca="false">IF(AF31&lt;&gt;"",AF31,IF(AND(M31&lt;&gt;"",M31=S31),M31,""))</f>
        <v/>
      </c>
      <c r="AM31" s="15" t="str">
        <f aca="false">IF(AG31&lt;&gt;"",AG31,IF(AND(N31&lt;&gt;"",N31=T31),N31,""))</f>
        <v/>
      </c>
      <c r="AN31" s="15" t="str">
        <f aca="false">IF(AH31&lt;&gt;"",AH31,IF(AND(O31&lt;&gt;"",O31=U31),O31,""))</f>
        <v/>
      </c>
      <c r="AO31" s="15" t="str">
        <f aca="false">IF(AI31&lt;&gt;"",AI31,IF(AND(P31&lt;&gt;"",P31=V31),P31,""))</f>
        <v/>
      </c>
      <c r="AP31" s="15" t="str">
        <f aca="false">IF(AJ31&lt;&gt;"",AJ31,IF(AND(Q31&lt;&gt;"",Q31=W31),Q31,""))</f>
        <v/>
      </c>
      <c r="AQ31" s="15" t="str">
        <f aca="false">IF(AK31&lt;&gt;"",AK31,IF(AND(R31&lt;&gt;"",R31=X31),R31,""))</f>
        <v/>
      </c>
      <c r="AR31" s="16"/>
      <c r="AS31" s="9" t="str">
        <f aca="false">IF(COUNTA(M31:R31)+COUNTA(S31:X31)&lt;12,"Menunggu coder",IF(AE31=0,"Sepakat",IF(SUMPRODUCT((Y31:AD31="Beda")*(AF31:AK31=""))=0,"Selesai adjudikasi","Perlu adjudikasi")))</f>
        <v>Menunggu coder</v>
      </c>
      <c r="AT31" s="10" t="str">
        <f aca="false">IF(COUNTIF(AL31:AQ31,"?*")&lt;6,"",IF(IF(AND(AM31="R0",AQ31&lt;&gt;"K5"),"R0 harus K5; ","")&amp;IF(AND(AM31="R1",AQ31="K3"),"R1 tidak boleh K3 (fungsional); ","")&amp;IF(AND(AM31="R2",AQ31="K5"),"R2 tidak boleh K5; ","")&amp;IF(AND(AM31="R2",OR(AL31="S6",AL31="S7",AL31="S8")),"R2 tidak boleh S6/S7/S8; ","")&amp;IF(AND(AO31="P9",AN31&lt;&gt;"T17"),"P9 hanya dengan T17; ","")&amp;IF(AND(OR(AN31="T17",AO31="P9"),AM31&lt;&gt;"R0"),"T17/P9 harus R0; ","")&amp;IF(AND(AN31="T01",AO31&lt;&gt;"P6"),"T01 biasanya P6 (periksa); ","")&amp;IF(AND(AO31="P1",AQ31&lt;&gt;"K4"),"P1 biasanya K4 (periksa); ","")="","OK",IF(AND(AM31="R0",AQ31&lt;&gt;"K5"),"R0 harus K5; ","")&amp;IF(AND(AM31="R1",AQ31="K3"),"R1 tidak boleh K3 (fungsional); ","")&amp;IF(AND(AM31="R2",AQ31="K5"),"R2 tidak boleh K5; ","")&amp;IF(AND(AM31="R2",OR(AL31="S6",AL31="S7",AL31="S8")),"R2 tidak boleh S6/S7/S8; ","")&amp;IF(AND(AO31="P9",AN31&lt;&gt;"T17"),"P9 hanya dengan T17; ","")&amp;IF(AND(OR(AN31="T17",AO31="P9"),AM31&lt;&gt;"R0"),"T17/P9 harus R0; ","")&amp;IF(AND(AN31="T01",AO31&lt;&gt;"P6"),"T01 biasanya P6 (periksa); ","")&amp;IF(AND(AO31="P1",AQ31&lt;&gt;"K4"),"P1 biasanya K4 (periksa); ","")))</f>
        <v/>
      </c>
    </row>
    <row r="32" customFormat="false" ht="48" hidden="false" customHeight="true" outlineLevel="0" collapsed="false">
      <c r="A32" s="9" t="n">
        <v>29</v>
      </c>
      <c r="B32" s="10" t="str">
        <f aca="false">IF(INDEX(Korpus!$A:$A,$A32)="","",INDEX(Korpus!$A:$A,$A32))</f>
        <v/>
      </c>
      <c r="C32" s="10" t="str">
        <f aca="false">TRIM(INDEX(Korpus!$D:$D,$A32)&amp;" "&amp;INDEX(Korpus!$E:$E,$A32))</f>
        <v/>
      </c>
      <c r="D32" s="10" t="str">
        <f aca="false">IF(INDEX(Korpus!$B:$B,$A32)="","",INDEX(Korpus!$B:$B,$A32))</f>
        <v/>
      </c>
      <c r="E32" s="10" t="str">
        <f aca="false">IF(INDEX(Korpus!$C:$C,$A32)="","",INDEX(Korpus!$C:$C,$A32))</f>
        <v/>
      </c>
      <c r="F32" s="10" t="str">
        <f aca="false">IF(INDEX(Korpus!$F:$F,$A32)="","",INDEX(Korpus!$F:$F,$A32))</f>
        <v/>
      </c>
      <c r="G32" s="11"/>
      <c r="H32" s="11"/>
      <c r="I32" s="11"/>
      <c r="J32" s="11"/>
      <c r="K32" s="11"/>
      <c r="L32" s="11"/>
      <c r="M32" s="12"/>
      <c r="N32" s="12"/>
      <c r="O32" s="12"/>
      <c r="P32" s="12"/>
      <c r="Q32" s="12"/>
      <c r="R32" s="12"/>
      <c r="S32" s="13"/>
      <c r="T32" s="13"/>
      <c r="U32" s="13"/>
      <c r="V32" s="13"/>
      <c r="W32" s="13"/>
      <c r="X32" s="13"/>
      <c r="Y32" s="9" t="str">
        <f aca="false">IF(OR(M32="",S32=""),"",IF(M32=S32,"Sama","Beda"))</f>
        <v/>
      </c>
      <c r="Z32" s="9" t="str">
        <f aca="false">IF(OR(N32="",T32=""),"",IF(N32=T32,"Sama","Beda"))</f>
        <v/>
      </c>
      <c r="AA32" s="9" t="str">
        <f aca="false">IF(OR(O32="",U32=""),"",IF(O32=U32,"Sama","Beda"))</f>
        <v/>
      </c>
      <c r="AB32" s="9" t="str">
        <f aca="false">IF(OR(P32="",V32=""),"",IF(P32=V32,"Sama","Beda"))</f>
        <v/>
      </c>
      <c r="AC32" s="9" t="str">
        <f aca="false">IF(OR(Q32="",W32=""),"",IF(Q32=W32,"Sama","Beda"))</f>
        <v/>
      </c>
      <c r="AD32" s="9" t="str">
        <f aca="false">IF(OR(R32="",X32=""),"",IF(R32=X32,"Sama","Beda"))</f>
        <v/>
      </c>
      <c r="AE32" s="9" t="n">
        <f aca="false">COUNTIF(Y32:AD32,"Beda")</f>
        <v>0</v>
      </c>
      <c r="AF32" s="14"/>
      <c r="AG32" s="14"/>
      <c r="AH32" s="14"/>
      <c r="AI32" s="14"/>
      <c r="AJ32" s="14"/>
      <c r="AK32" s="14"/>
      <c r="AL32" s="15" t="str">
        <f aca="false">IF(AF32&lt;&gt;"",AF32,IF(AND(M32&lt;&gt;"",M32=S32),M32,""))</f>
        <v/>
      </c>
      <c r="AM32" s="15" t="str">
        <f aca="false">IF(AG32&lt;&gt;"",AG32,IF(AND(N32&lt;&gt;"",N32=T32),N32,""))</f>
        <v/>
      </c>
      <c r="AN32" s="15" t="str">
        <f aca="false">IF(AH32&lt;&gt;"",AH32,IF(AND(O32&lt;&gt;"",O32=U32),O32,""))</f>
        <v/>
      </c>
      <c r="AO32" s="15" t="str">
        <f aca="false">IF(AI32&lt;&gt;"",AI32,IF(AND(P32&lt;&gt;"",P32=V32),P32,""))</f>
        <v/>
      </c>
      <c r="AP32" s="15" t="str">
        <f aca="false">IF(AJ32&lt;&gt;"",AJ32,IF(AND(Q32&lt;&gt;"",Q32=W32),Q32,""))</f>
        <v/>
      </c>
      <c r="AQ32" s="15" t="str">
        <f aca="false">IF(AK32&lt;&gt;"",AK32,IF(AND(R32&lt;&gt;"",R32=X32),R32,""))</f>
        <v/>
      </c>
      <c r="AR32" s="16"/>
      <c r="AS32" s="9" t="str">
        <f aca="false">IF(COUNTA(M32:R32)+COUNTA(S32:X32)&lt;12,"Menunggu coder",IF(AE32=0,"Sepakat",IF(SUMPRODUCT((Y32:AD32="Beda")*(AF32:AK32=""))=0,"Selesai adjudikasi","Perlu adjudikasi")))</f>
        <v>Menunggu coder</v>
      </c>
      <c r="AT32" s="10" t="str">
        <f aca="false">IF(COUNTIF(AL32:AQ32,"?*")&lt;6,"",IF(IF(AND(AM32="R0",AQ32&lt;&gt;"K5"),"R0 harus K5; ","")&amp;IF(AND(AM32="R1",AQ32="K3"),"R1 tidak boleh K3 (fungsional); ","")&amp;IF(AND(AM32="R2",AQ32="K5"),"R2 tidak boleh K5; ","")&amp;IF(AND(AM32="R2",OR(AL32="S6",AL32="S7",AL32="S8")),"R2 tidak boleh S6/S7/S8; ","")&amp;IF(AND(AO32="P9",AN32&lt;&gt;"T17"),"P9 hanya dengan T17; ","")&amp;IF(AND(OR(AN32="T17",AO32="P9"),AM32&lt;&gt;"R0"),"T17/P9 harus R0; ","")&amp;IF(AND(AN32="T01",AO32&lt;&gt;"P6"),"T01 biasanya P6 (periksa); ","")&amp;IF(AND(AO32="P1",AQ32&lt;&gt;"K4"),"P1 biasanya K4 (periksa); ","")="","OK",IF(AND(AM32="R0",AQ32&lt;&gt;"K5"),"R0 harus K5; ","")&amp;IF(AND(AM32="R1",AQ32="K3"),"R1 tidak boleh K3 (fungsional); ","")&amp;IF(AND(AM32="R2",AQ32="K5"),"R2 tidak boleh K5; ","")&amp;IF(AND(AM32="R2",OR(AL32="S6",AL32="S7",AL32="S8")),"R2 tidak boleh S6/S7/S8; ","")&amp;IF(AND(AO32="P9",AN32&lt;&gt;"T17"),"P9 hanya dengan T17; ","")&amp;IF(AND(OR(AN32="T17",AO32="P9"),AM32&lt;&gt;"R0"),"T17/P9 harus R0; ","")&amp;IF(AND(AN32="T01",AO32&lt;&gt;"P6"),"T01 biasanya P6 (periksa); ","")&amp;IF(AND(AO32="P1",AQ32&lt;&gt;"K4"),"P1 biasanya K4 (periksa); ","")))</f>
        <v/>
      </c>
    </row>
    <row r="33" customFormat="false" ht="48" hidden="false" customHeight="true" outlineLevel="0" collapsed="false">
      <c r="A33" s="9" t="n">
        <v>30</v>
      </c>
      <c r="B33" s="10" t="str">
        <f aca="false">IF(INDEX(Korpus!$A:$A,$A33)="","",INDEX(Korpus!$A:$A,$A33))</f>
        <v/>
      </c>
      <c r="C33" s="10" t="str">
        <f aca="false">TRIM(INDEX(Korpus!$D:$D,$A33)&amp;" "&amp;INDEX(Korpus!$E:$E,$A33))</f>
        <v/>
      </c>
      <c r="D33" s="10" t="str">
        <f aca="false">IF(INDEX(Korpus!$B:$B,$A33)="","",INDEX(Korpus!$B:$B,$A33))</f>
        <v/>
      </c>
      <c r="E33" s="10" t="str">
        <f aca="false">IF(INDEX(Korpus!$C:$C,$A33)="","",INDEX(Korpus!$C:$C,$A33))</f>
        <v/>
      </c>
      <c r="F33" s="10" t="str">
        <f aca="false">IF(INDEX(Korpus!$F:$F,$A33)="","",INDEX(Korpus!$F:$F,$A33))</f>
        <v/>
      </c>
      <c r="G33" s="11" t="s">
        <v>82</v>
      </c>
      <c r="H33" s="11" t="s">
        <v>83</v>
      </c>
      <c r="I33" s="11" t="s">
        <v>98</v>
      </c>
      <c r="J33" s="11" t="s">
        <v>99</v>
      </c>
      <c r="K33" s="11" t="s">
        <v>86</v>
      </c>
      <c r="L33" s="11" t="s">
        <v>87</v>
      </c>
      <c r="M33" s="12"/>
      <c r="N33" s="12"/>
      <c r="O33" s="12"/>
      <c r="P33" s="12"/>
      <c r="Q33" s="12"/>
      <c r="R33" s="12"/>
      <c r="S33" s="13"/>
      <c r="T33" s="13"/>
      <c r="U33" s="13"/>
      <c r="V33" s="13"/>
      <c r="W33" s="13"/>
      <c r="X33" s="13"/>
      <c r="Y33" s="9" t="str">
        <f aca="false">IF(OR(M33="",S33=""),"",IF(M33=S33,"Sama","Beda"))</f>
        <v/>
      </c>
      <c r="Z33" s="9" t="str">
        <f aca="false">IF(OR(N33="",T33=""),"",IF(N33=T33,"Sama","Beda"))</f>
        <v/>
      </c>
      <c r="AA33" s="9" t="str">
        <f aca="false">IF(OR(O33="",U33=""),"",IF(O33=U33,"Sama","Beda"))</f>
        <v/>
      </c>
      <c r="AB33" s="9" t="str">
        <f aca="false">IF(OR(P33="",V33=""),"",IF(P33=V33,"Sama","Beda"))</f>
        <v/>
      </c>
      <c r="AC33" s="9" t="str">
        <f aca="false">IF(OR(Q33="",W33=""),"",IF(Q33=W33,"Sama","Beda"))</f>
        <v/>
      </c>
      <c r="AD33" s="9" t="str">
        <f aca="false">IF(OR(R33="",X33=""),"",IF(R33=X33,"Sama","Beda"))</f>
        <v/>
      </c>
      <c r="AE33" s="9" t="n">
        <f aca="false">COUNTIF(Y33:AD33,"Beda")</f>
        <v>0</v>
      </c>
      <c r="AF33" s="14"/>
      <c r="AG33" s="14"/>
      <c r="AH33" s="14"/>
      <c r="AI33" s="14"/>
      <c r="AJ33" s="14"/>
      <c r="AK33" s="14"/>
      <c r="AL33" s="15" t="str">
        <f aca="false">IF(AF33&lt;&gt;"",AF33,IF(AND(M33&lt;&gt;"",M33=S33),M33,""))</f>
        <v/>
      </c>
      <c r="AM33" s="15" t="str">
        <f aca="false">IF(AG33&lt;&gt;"",AG33,IF(AND(N33&lt;&gt;"",N33=T33),N33,""))</f>
        <v/>
      </c>
      <c r="AN33" s="15" t="str">
        <f aca="false">IF(AH33&lt;&gt;"",AH33,IF(AND(O33&lt;&gt;"",O33=U33),O33,""))</f>
        <v/>
      </c>
      <c r="AO33" s="15" t="str">
        <f aca="false">IF(AI33&lt;&gt;"",AI33,IF(AND(P33&lt;&gt;"",P33=V33),P33,""))</f>
        <v/>
      </c>
      <c r="AP33" s="15" t="str">
        <f aca="false">IF(AJ33&lt;&gt;"",AJ33,IF(AND(Q33&lt;&gt;"",Q33=W33),Q33,""))</f>
        <v/>
      </c>
      <c r="AQ33" s="15" t="str">
        <f aca="false">IF(AK33&lt;&gt;"",AK33,IF(AND(R33&lt;&gt;"",R33=X33),R33,""))</f>
        <v/>
      </c>
      <c r="AR33" s="16"/>
      <c r="AS33" s="9" t="str">
        <f aca="false">IF(COUNTA(M33:R33)+COUNTA(S33:X33)&lt;12,"Menunggu coder",IF(AE33=0,"Sepakat",IF(SUMPRODUCT((Y33:AD33="Beda")*(AF33:AK33=""))=0,"Selesai adjudikasi","Perlu adjudikasi")))</f>
        <v>Menunggu coder</v>
      </c>
      <c r="AT33" s="10" t="str">
        <f aca="false">IF(COUNTIF(AL33:AQ33,"?*")&lt;6,"",IF(IF(AND(AM33="R0",AQ33&lt;&gt;"K5"),"R0 harus K5; ","")&amp;IF(AND(AM33="R1",AQ33="K3"),"R1 tidak boleh K3 (fungsional); ","")&amp;IF(AND(AM33="R2",AQ33="K5"),"R2 tidak boleh K5; ","")&amp;IF(AND(AM33="R2",OR(AL33="S6",AL33="S7",AL33="S8")),"R2 tidak boleh S6/S7/S8; ","")&amp;IF(AND(AO33="P9",AN33&lt;&gt;"T17"),"P9 hanya dengan T17; ","")&amp;IF(AND(OR(AN33="T17",AO33="P9"),AM33&lt;&gt;"R0"),"T17/P9 harus R0; ","")&amp;IF(AND(AN33="T01",AO33&lt;&gt;"P6"),"T01 biasanya P6 (periksa); ","")&amp;IF(AND(AO33="P1",AQ33&lt;&gt;"K4"),"P1 biasanya K4 (periksa); ","")="","OK",IF(AND(AM33="R0",AQ33&lt;&gt;"K5"),"R0 harus K5; ","")&amp;IF(AND(AM33="R1",AQ33="K3"),"R1 tidak boleh K3 (fungsional); ","")&amp;IF(AND(AM33="R2",AQ33="K5"),"R2 tidak boleh K5; ","")&amp;IF(AND(AM33="R2",OR(AL33="S6",AL33="S7",AL33="S8")),"R2 tidak boleh S6/S7/S8; ","")&amp;IF(AND(AO33="P9",AN33&lt;&gt;"T17"),"P9 hanya dengan T17; ","")&amp;IF(AND(OR(AN33="T17",AO33="P9"),AM33&lt;&gt;"R0"),"T17/P9 harus R0; ","")&amp;IF(AND(AN33="T01",AO33&lt;&gt;"P6"),"T01 biasanya P6 (periksa); ","")&amp;IF(AND(AO33="P1",AQ33&lt;&gt;"K4"),"P1 biasanya K4 (periksa); ","")))</f>
        <v/>
      </c>
    </row>
    <row r="34" customFormat="false" ht="48" hidden="false" customHeight="true" outlineLevel="0" collapsed="false">
      <c r="A34" s="9" t="n">
        <v>31</v>
      </c>
      <c r="B34" s="10" t="str">
        <f aca="false">IF(INDEX(Korpus!$A:$A,$A34)="","",INDEX(Korpus!$A:$A,$A34))</f>
        <v/>
      </c>
      <c r="C34" s="10" t="str">
        <f aca="false">TRIM(INDEX(Korpus!$D:$D,$A34)&amp;" "&amp;INDEX(Korpus!$E:$E,$A34))</f>
        <v/>
      </c>
      <c r="D34" s="10" t="str">
        <f aca="false">IF(INDEX(Korpus!$B:$B,$A34)="","",INDEX(Korpus!$B:$B,$A34))</f>
        <v/>
      </c>
      <c r="E34" s="10" t="str">
        <f aca="false">IF(INDEX(Korpus!$C:$C,$A34)="","",INDEX(Korpus!$C:$C,$A34))</f>
        <v/>
      </c>
      <c r="F34" s="10" t="str">
        <f aca="false">IF(INDEX(Korpus!$F:$F,$A34)="","",INDEX(Korpus!$F:$F,$A34))</f>
        <v/>
      </c>
      <c r="G34" s="11"/>
      <c r="H34" s="11"/>
      <c r="I34" s="11"/>
      <c r="J34" s="11"/>
      <c r="K34" s="11"/>
      <c r="L34" s="11"/>
      <c r="M34" s="12"/>
      <c r="N34" s="12"/>
      <c r="O34" s="12"/>
      <c r="P34" s="12"/>
      <c r="Q34" s="12"/>
      <c r="R34" s="12"/>
      <c r="S34" s="13"/>
      <c r="T34" s="13"/>
      <c r="U34" s="13"/>
      <c r="V34" s="13"/>
      <c r="W34" s="13"/>
      <c r="X34" s="13"/>
      <c r="Y34" s="9" t="str">
        <f aca="false">IF(OR(M34="",S34=""),"",IF(M34=S34,"Sama","Beda"))</f>
        <v/>
      </c>
      <c r="Z34" s="9" t="str">
        <f aca="false">IF(OR(N34="",T34=""),"",IF(N34=T34,"Sama","Beda"))</f>
        <v/>
      </c>
      <c r="AA34" s="9" t="str">
        <f aca="false">IF(OR(O34="",U34=""),"",IF(O34=U34,"Sama","Beda"))</f>
        <v/>
      </c>
      <c r="AB34" s="9" t="str">
        <f aca="false">IF(OR(P34="",V34=""),"",IF(P34=V34,"Sama","Beda"))</f>
        <v/>
      </c>
      <c r="AC34" s="9" t="str">
        <f aca="false">IF(OR(Q34="",W34=""),"",IF(Q34=W34,"Sama","Beda"))</f>
        <v/>
      </c>
      <c r="AD34" s="9" t="str">
        <f aca="false">IF(OR(R34="",X34=""),"",IF(R34=X34,"Sama","Beda"))</f>
        <v/>
      </c>
      <c r="AE34" s="9" t="n">
        <f aca="false">COUNTIF(Y34:AD34,"Beda")</f>
        <v>0</v>
      </c>
      <c r="AF34" s="14"/>
      <c r="AG34" s="14"/>
      <c r="AH34" s="14"/>
      <c r="AI34" s="14"/>
      <c r="AJ34" s="14"/>
      <c r="AK34" s="14"/>
      <c r="AL34" s="15" t="str">
        <f aca="false">IF(AF34&lt;&gt;"",AF34,IF(AND(M34&lt;&gt;"",M34=S34),M34,""))</f>
        <v/>
      </c>
      <c r="AM34" s="15" t="str">
        <f aca="false">IF(AG34&lt;&gt;"",AG34,IF(AND(N34&lt;&gt;"",N34=T34),N34,""))</f>
        <v/>
      </c>
      <c r="AN34" s="15" t="str">
        <f aca="false">IF(AH34&lt;&gt;"",AH34,IF(AND(O34&lt;&gt;"",O34=U34),O34,""))</f>
        <v/>
      </c>
      <c r="AO34" s="15" t="str">
        <f aca="false">IF(AI34&lt;&gt;"",AI34,IF(AND(P34&lt;&gt;"",P34=V34),P34,""))</f>
        <v/>
      </c>
      <c r="AP34" s="15" t="str">
        <f aca="false">IF(AJ34&lt;&gt;"",AJ34,IF(AND(Q34&lt;&gt;"",Q34=W34),Q34,""))</f>
        <v/>
      </c>
      <c r="AQ34" s="15" t="str">
        <f aca="false">IF(AK34&lt;&gt;"",AK34,IF(AND(R34&lt;&gt;"",R34=X34),R34,""))</f>
        <v/>
      </c>
      <c r="AR34" s="16"/>
      <c r="AS34" s="9" t="str">
        <f aca="false">IF(COUNTA(M34:R34)+COUNTA(S34:X34)&lt;12,"Menunggu coder",IF(AE34=0,"Sepakat",IF(SUMPRODUCT((Y34:AD34="Beda")*(AF34:AK34=""))=0,"Selesai adjudikasi","Perlu adjudikasi")))</f>
        <v>Menunggu coder</v>
      </c>
      <c r="AT34" s="10" t="str">
        <f aca="false">IF(COUNTIF(AL34:AQ34,"?*")&lt;6,"",IF(IF(AND(AM34="R0",AQ34&lt;&gt;"K5"),"R0 harus K5; ","")&amp;IF(AND(AM34="R1",AQ34="K3"),"R1 tidak boleh K3 (fungsional); ","")&amp;IF(AND(AM34="R2",AQ34="K5"),"R2 tidak boleh K5; ","")&amp;IF(AND(AM34="R2",OR(AL34="S6",AL34="S7",AL34="S8")),"R2 tidak boleh S6/S7/S8; ","")&amp;IF(AND(AO34="P9",AN34&lt;&gt;"T17"),"P9 hanya dengan T17; ","")&amp;IF(AND(OR(AN34="T17",AO34="P9"),AM34&lt;&gt;"R0"),"T17/P9 harus R0; ","")&amp;IF(AND(AN34="T01",AO34&lt;&gt;"P6"),"T01 biasanya P6 (periksa); ","")&amp;IF(AND(AO34="P1",AQ34&lt;&gt;"K4"),"P1 biasanya K4 (periksa); ","")="","OK",IF(AND(AM34="R0",AQ34&lt;&gt;"K5"),"R0 harus K5; ","")&amp;IF(AND(AM34="R1",AQ34="K3"),"R1 tidak boleh K3 (fungsional); ","")&amp;IF(AND(AM34="R2",AQ34="K5"),"R2 tidak boleh K5; ","")&amp;IF(AND(AM34="R2",OR(AL34="S6",AL34="S7",AL34="S8")),"R2 tidak boleh S6/S7/S8; ","")&amp;IF(AND(AO34="P9",AN34&lt;&gt;"T17"),"P9 hanya dengan T17; ","")&amp;IF(AND(OR(AN34="T17",AO34="P9"),AM34&lt;&gt;"R0"),"T17/P9 harus R0; ","")&amp;IF(AND(AN34="T01",AO34&lt;&gt;"P6"),"T01 biasanya P6 (periksa); ","")&amp;IF(AND(AO34="P1",AQ34&lt;&gt;"K4"),"P1 biasanya K4 (periksa); ","")))</f>
        <v/>
      </c>
    </row>
    <row r="35" customFormat="false" ht="48" hidden="false" customHeight="true" outlineLevel="0" collapsed="false">
      <c r="A35" s="9" t="n">
        <v>32</v>
      </c>
      <c r="B35" s="10" t="str">
        <f aca="false">IF(INDEX(Korpus!$A:$A,$A35)="","",INDEX(Korpus!$A:$A,$A35))</f>
        <v/>
      </c>
      <c r="C35" s="10" t="str">
        <f aca="false">TRIM(INDEX(Korpus!$D:$D,$A35)&amp;" "&amp;INDEX(Korpus!$E:$E,$A35))</f>
        <v/>
      </c>
      <c r="D35" s="10" t="str">
        <f aca="false">IF(INDEX(Korpus!$B:$B,$A35)="","",INDEX(Korpus!$B:$B,$A35))</f>
        <v/>
      </c>
      <c r="E35" s="10" t="str">
        <f aca="false">IF(INDEX(Korpus!$C:$C,$A35)="","",INDEX(Korpus!$C:$C,$A35))</f>
        <v/>
      </c>
      <c r="F35" s="10" t="str">
        <f aca="false">IF(INDEX(Korpus!$F:$F,$A35)="","",INDEX(Korpus!$F:$F,$A35))</f>
        <v/>
      </c>
      <c r="G35" s="11" t="s">
        <v>100</v>
      </c>
      <c r="H35" s="11" t="s">
        <v>101</v>
      </c>
      <c r="I35" s="11" t="s">
        <v>102</v>
      </c>
      <c r="J35" s="11" t="s">
        <v>103</v>
      </c>
      <c r="K35" s="11" t="s">
        <v>104</v>
      </c>
      <c r="L35" s="11" t="s">
        <v>105</v>
      </c>
      <c r="M35" s="12"/>
      <c r="N35" s="12"/>
      <c r="O35" s="12"/>
      <c r="P35" s="12"/>
      <c r="Q35" s="12"/>
      <c r="R35" s="12"/>
      <c r="S35" s="13"/>
      <c r="T35" s="13"/>
      <c r="U35" s="13"/>
      <c r="V35" s="13"/>
      <c r="W35" s="13"/>
      <c r="X35" s="13"/>
      <c r="Y35" s="9" t="str">
        <f aca="false">IF(OR(M35="",S35=""),"",IF(M35=S35,"Sama","Beda"))</f>
        <v/>
      </c>
      <c r="Z35" s="9" t="str">
        <f aca="false">IF(OR(N35="",T35=""),"",IF(N35=T35,"Sama","Beda"))</f>
        <v/>
      </c>
      <c r="AA35" s="9" t="str">
        <f aca="false">IF(OR(O35="",U35=""),"",IF(O35=U35,"Sama","Beda"))</f>
        <v/>
      </c>
      <c r="AB35" s="9" t="str">
        <f aca="false">IF(OR(P35="",V35=""),"",IF(P35=V35,"Sama","Beda"))</f>
        <v/>
      </c>
      <c r="AC35" s="9" t="str">
        <f aca="false">IF(OR(Q35="",W35=""),"",IF(Q35=W35,"Sama","Beda"))</f>
        <v/>
      </c>
      <c r="AD35" s="9" t="str">
        <f aca="false">IF(OR(R35="",X35=""),"",IF(R35=X35,"Sama","Beda"))</f>
        <v/>
      </c>
      <c r="AE35" s="9" t="n">
        <f aca="false">COUNTIF(Y35:AD35,"Beda")</f>
        <v>0</v>
      </c>
      <c r="AF35" s="14"/>
      <c r="AG35" s="14"/>
      <c r="AH35" s="14"/>
      <c r="AI35" s="14"/>
      <c r="AJ35" s="14"/>
      <c r="AK35" s="14"/>
      <c r="AL35" s="15" t="str">
        <f aca="false">IF(AF35&lt;&gt;"",AF35,IF(AND(M35&lt;&gt;"",M35=S35),M35,""))</f>
        <v/>
      </c>
      <c r="AM35" s="15" t="str">
        <f aca="false">IF(AG35&lt;&gt;"",AG35,IF(AND(N35&lt;&gt;"",N35=T35),N35,""))</f>
        <v/>
      </c>
      <c r="AN35" s="15" t="str">
        <f aca="false">IF(AH35&lt;&gt;"",AH35,IF(AND(O35&lt;&gt;"",O35=U35),O35,""))</f>
        <v/>
      </c>
      <c r="AO35" s="15" t="str">
        <f aca="false">IF(AI35&lt;&gt;"",AI35,IF(AND(P35&lt;&gt;"",P35=V35),P35,""))</f>
        <v/>
      </c>
      <c r="AP35" s="15" t="str">
        <f aca="false">IF(AJ35&lt;&gt;"",AJ35,IF(AND(Q35&lt;&gt;"",Q35=W35),Q35,""))</f>
        <v/>
      </c>
      <c r="AQ35" s="15" t="str">
        <f aca="false">IF(AK35&lt;&gt;"",AK35,IF(AND(R35&lt;&gt;"",R35=X35),R35,""))</f>
        <v/>
      </c>
      <c r="AR35" s="16"/>
      <c r="AS35" s="9" t="str">
        <f aca="false">IF(COUNTA(M35:R35)+COUNTA(S35:X35)&lt;12,"Menunggu coder",IF(AE35=0,"Sepakat",IF(SUMPRODUCT((Y35:AD35="Beda")*(AF35:AK35=""))=0,"Selesai adjudikasi","Perlu adjudikasi")))</f>
        <v>Menunggu coder</v>
      </c>
      <c r="AT35" s="10" t="str">
        <f aca="false">IF(COUNTIF(AL35:AQ35,"?*")&lt;6,"",IF(IF(AND(AM35="R0",AQ35&lt;&gt;"K5"),"R0 harus K5; ","")&amp;IF(AND(AM35="R1",AQ35="K3"),"R1 tidak boleh K3 (fungsional); ","")&amp;IF(AND(AM35="R2",AQ35="K5"),"R2 tidak boleh K5; ","")&amp;IF(AND(AM35="R2",OR(AL35="S6",AL35="S7",AL35="S8")),"R2 tidak boleh S6/S7/S8; ","")&amp;IF(AND(AO35="P9",AN35&lt;&gt;"T17"),"P9 hanya dengan T17; ","")&amp;IF(AND(OR(AN35="T17",AO35="P9"),AM35&lt;&gt;"R0"),"T17/P9 harus R0; ","")&amp;IF(AND(AN35="T01",AO35&lt;&gt;"P6"),"T01 biasanya P6 (periksa); ","")&amp;IF(AND(AO35="P1",AQ35&lt;&gt;"K4"),"P1 biasanya K4 (periksa); ","")="","OK",IF(AND(AM35="R0",AQ35&lt;&gt;"K5"),"R0 harus K5; ","")&amp;IF(AND(AM35="R1",AQ35="K3"),"R1 tidak boleh K3 (fungsional); ","")&amp;IF(AND(AM35="R2",AQ35="K5"),"R2 tidak boleh K5; ","")&amp;IF(AND(AM35="R2",OR(AL35="S6",AL35="S7",AL35="S8")),"R2 tidak boleh S6/S7/S8; ","")&amp;IF(AND(AO35="P9",AN35&lt;&gt;"T17"),"P9 hanya dengan T17; ","")&amp;IF(AND(OR(AN35="T17",AO35="P9"),AM35&lt;&gt;"R0"),"T17/P9 harus R0; ","")&amp;IF(AND(AN35="T01",AO35&lt;&gt;"P6"),"T01 biasanya P6 (periksa); ","")&amp;IF(AND(AO35="P1",AQ35&lt;&gt;"K4"),"P1 biasanya K4 (periksa); ","")))</f>
        <v/>
      </c>
    </row>
    <row r="36" customFormat="false" ht="48" hidden="false" customHeight="true" outlineLevel="0" collapsed="false">
      <c r="A36" s="9" t="n">
        <v>33</v>
      </c>
      <c r="B36" s="10" t="str">
        <f aca="false">IF(INDEX(Korpus!$A:$A,$A36)="","",INDEX(Korpus!$A:$A,$A36))</f>
        <v/>
      </c>
      <c r="C36" s="10" t="str">
        <f aca="false">TRIM(INDEX(Korpus!$D:$D,$A36)&amp;" "&amp;INDEX(Korpus!$E:$E,$A36))</f>
        <v/>
      </c>
      <c r="D36" s="10" t="str">
        <f aca="false">IF(INDEX(Korpus!$B:$B,$A36)="","",INDEX(Korpus!$B:$B,$A36))</f>
        <v/>
      </c>
      <c r="E36" s="10" t="str">
        <f aca="false">IF(INDEX(Korpus!$C:$C,$A36)="","",INDEX(Korpus!$C:$C,$A36))</f>
        <v/>
      </c>
      <c r="F36" s="10" t="str">
        <f aca="false">IF(INDEX(Korpus!$F:$F,$A36)="","",INDEX(Korpus!$F:$F,$A36))</f>
        <v/>
      </c>
      <c r="G36" s="11"/>
      <c r="H36" s="11"/>
      <c r="I36" s="11"/>
      <c r="J36" s="11"/>
      <c r="K36" s="11"/>
      <c r="L36" s="11"/>
      <c r="M36" s="12"/>
      <c r="N36" s="12"/>
      <c r="O36" s="12"/>
      <c r="P36" s="12"/>
      <c r="Q36" s="12"/>
      <c r="R36" s="12"/>
      <c r="S36" s="13"/>
      <c r="T36" s="13"/>
      <c r="U36" s="13"/>
      <c r="V36" s="13"/>
      <c r="W36" s="13"/>
      <c r="X36" s="13"/>
      <c r="Y36" s="9" t="str">
        <f aca="false">IF(OR(M36="",S36=""),"",IF(M36=S36,"Sama","Beda"))</f>
        <v/>
      </c>
      <c r="Z36" s="9" t="str">
        <f aca="false">IF(OR(N36="",T36=""),"",IF(N36=T36,"Sama","Beda"))</f>
        <v/>
      </c>
      <c r="AA36" s="9" t="str">
        <f aca="false">IF(OR(O36="",U36=""),"",IF(O36=U36,"Sama","Beda"))</f>
        <v/>
      </c>
      <c r="AB36" s="9" t="str">
        <f aca="false">IF(OR(P36="",V36=""),"",IF(P36=V36,"Sama","Beda"))</f>
        <v/>
      </c>
      <c r="AC36" s="9" t="str">
        <f aca="false">IF(OR(Q36="",W36=""),"",IF(Q36=W36,"Sama","Beda"))</f>
        <v/>
      </c>
      <c r="AD36" s="9" t="str">
        <f aca="false">IF(OR(R36="",X36=""),"",IF(R36=X36,"Sama","Beda"))</f>
        <v/>
      </c>
      <c r="AE36" s="9" t="n">
        <f aca="false">COUNTIF(Y36:AD36,"Beda")</f>
        <v>0</v>
      </c>
      <c r="AF36" s="14"/>
      <c r="AG36" s="14"/>
      <c r="AH36" s="14"/>
      <c r="AI36" s="14"/>
      <c r="AJ36" s="14"/>
      <c r="AK36" s="14"/>
      <c r="AL36" s="15" t="str">
        <f aca="false">IF(AF36&lt;&gt;"",AF36,IF(AND(M36&lt;&gt;"",M36=S36),M36,""))</f>
        <v/>
      </c>
      <c r="AM36" s="15" t="str">
        <f aca="false">IF(AG36&lt;&gt;"",AG36,IF(AND(N36&lt;&gt;"",N36=T36),N36,""))</f>
        <v/>
      </c>
      <c r="AN36" s="15" t="str">
        <f aca="false">IF(AH36&lt;&gt;"",AH36,IF(AND(O36&lt;&gt;"",O36=U36),O36,""))</f>
        <v/>
      </c>
      <c r="AO36" s="15" t="str">
        <f aca="false">IF(AI36&lt;&gt;"",AI36,IF(AND(P36&lt;&gt;"",P36=V36),P36,""))</f>
        <v/>
      </c>
      <c r="AP36" s="15" t="str">
        <f aca="false">IF(AJ36&lt;&gt;"",AJ36,IF(AND(Q36&lt;&gt;"",Q36=W36),Q36,""))</f>
        <v/>
      </c>
      <c r="AQ36" s="15" t="str">
        <f aca="false">IF(AK36&lt;&gt;"",AK36,IF(AND(R36&lt;&gt;"",R36=X36),R36,""))</f>
        <v/>
      </c>
      <c r="AR36" s="16"/>
      <c r="AS36" s="9" t="str">
        <f aca="false">IF(COUNTA(M36:R36)+COUNTA(S36:X36)&lt;12,"Menunggu coder",IF(AE36=0,"Sepakat",IF(SUMPRODUCT((Y36:AD36="Beda")*(AF36:AK36=""))=0,"Selesai adjudikasi","Perlu adjudikasi")))</f>
        <v>Menunggu coder</v>
      </c>
      <c r="AT36" s="10" t="str">
        <f aca="false">IF(COUNTIF(AL36:AQ36,"?*")&lt;6,"",IF(IF(AND(AM36="R0",AQ36&lt;&gt;"K5"),"R0 harus K5; ","")&amp;IF(AND(AM36="R1",AQ36="K3"),"R1 tidak boleh K3 (fungsional); ","")&amp;IF(AND(AM36="R2",AQ36="K5"),"R2 tidak boleh K5; ","")&amp;IF(AND(AM36="R2",OR(AL36="S6",AL36="S7",AL36="S8")),"R2 tidak boleh S6/S7/S8; ","")&amp;IF(AND(AO36="P9",AN36&lt;&gt;"T17"),"P9 hanya dengan T17; ","")&amp;IF(AND(OR(AN36="T17",AO36="P9"),AM36&lt;&gt;"R0"),"T17/P9 harus R0; ","")&amp;IF(AND(AN36="T01",AO36&lt;&gt;"P6"),"T01 biasanya P6 (periksa); ","")&amp;IF(AND(AO36="P1",AQ36&lt;&gt;"K4"),"P1 biasanya K4 (periksa); ","")="","OK",IF(AND(AM36="R0",AQ36&lt;&gt;"K5"),"R0 harus K5; ","")&amp;IF(AND(AM36="R1",AQ36="K3"),"R1 tidak boleh K3 (fungsional); ","")&amp;IF(AND(AM36="R2",AQ36="K5"),"R2 tidak boleh K5; ","")&amp;IF(AND(AM36="R2",OR(AL36="S6",AL36="S7",AL36="S8")),"R2 tidak boleh S6/S7/S8; ","")&amp;IF(AND(AO36="P9",AN36&lt;&gt;"T17"),"P9 hanya dengan T17; ","")&amp;IF(AND(OR(AN36="T17",AO36="P9"),AM36&lt;&gt;"R0"),"T17/P9 harus R0; ","")&amp;IF(AND(AN36="T01",AO36&lt;&gt;"P6"),"T01 biasanya P6 (periksa); ","")&amp;IF(AND(AO36="P1",AQ36&lt;&gt;"K4"),"P1 biasanya K4 (periksa); ","")))</f>
        <v/>
      </c>
    </row>
    <row r="37" customFormat="false" ht="48" hidden="false" customHeight="true" outlineLevel="0" collapsed="false">
      <c r="A37" s="9" t="n">
        <v>34</v>
      </c>
      <c r="B37" s="10" t="str">
        <f aca="false">IF(INDEX(Korpus!$A:$A,$A37)="","",INDEX(Korpus!$A:$A,$A37))</f>
        <v/>
      </c>
      <c r="C37" s="10" t="str">
        <f aca="false">TRIM(INDEX(Korpus!$D:$D,$A37)&amp;" "&amp;INDEX(Korpus!$E:$E,$A37))</f>
        <v/>
      </c>
      <c r="D37" s="10" t="str">
        <f aca="false">IF(INDEX(Korpus!$B:$B,$A37)="","",INDEX(Korpus!$B:$B,$A37))</f>
        <v/>
      </c>
      <c r="E37" s="10" t="str">
        <f aca="false">IF(INDEX(Korpus!$C:$C,$A37)="","",INDEX(Korpus!$C:$C,$A37))</f>
        <v/>
      </c>
      <c r="F37" s="10" t="str">
        <f aca="false">IF(INDEX(Korpus!$F:$F,$A37)="","",INDEX(Korpus!$F:$F,$A37))</f>
        <v/>
      </c>
      <c r="G37" s="11"/>
      <c r="H37" s="11"/>
      <c r="I37" s="11"/>
      <c r="J37" s="11"/>
      <c r="K37" s="11"/>
      <c r="L37" s="11"/>
      <c r="M37" s="12"/>
      <c r="N37" s="12"/>
      <c r="O37" s="12"/>
      <c r="P37" s="12"/>
      <c r="Q37" s="12"/>
      <c r="R37" s="12"/>
      <c r="S37" s="13"/>
      <c r="T37" s="13"/>
      <c r="U37" s="13"/>
      <c r="V37" s="13"/>
      <c r="W37" s="13"/>
      <c r="X37" s="13"/>
      <c r="Y37" s="9" t="str">
        <f aca="false">IF(OR(M37="",S37=""),"",IF(M37=S37,"Sama","Beda"))</f>
        <v/>
      </c>
      <c r="Z37" s="9" t="str">
        <f aca="false">IF(OR(N37="",T37=""),"",IF(N37=T37,"Sama","Beda"))</f>
        <v/>
      </c>
      <c r="AA37" s="9" t="str">
        <f aca="false">IF(OR(O37="",U37=""),"",IF(O37=U37,"Sama","Beda"))</f>
        <v/>
      </c>
      <c r="AB37" s="9" t="str">
        <f aca="false">IF(OR(P37="",V37=""),"",IF(P37=V37,"Sama","Beda"))</f>
        <v/>
      </c>
      <c r="AC37" s="9" t="str">
        <f aca="false">IF(OR(Q37="",W37=""),"",IF(Q37=W37,"Sama","Beda"))</f>
        <v/>
      </c>
      <c r="AD37" s="9" t="str">
        <f aca="false">IF(OR(R37="",X37=""),"",IF(R37=X37,"Sama","Beda"))</f>
        <v/>
      </c>
      <c r="AE37" s="9" t="n">
        <f aca="false">COUNTIF(Y37:AD37,"Beda")</f>
        <v>0</v>
      </c>
      <c r="AF37" s="14"/>
      <c r="AG37" s="14"/>
      <c r="AH37" s="14"/>
      <c r="AI37" s="14"/>
      <c r="AJ37" s="14"/>
      <c r="AK37" s="14"/>
      <c r="AL37" s="15" t="str">
        <f aca="false">IF(AF37&lt;&gt;"",AF37,IF(AND(M37&lt;&gt;"",M37=S37),M37,""))</f>
        <v/>
      </c>
      <c r="AM37" s="15" t="str">
        <f aca="false">IF(AG37&lt;&gt;"",AG37,IF(AND(N37&lt;&gt;"",N37=T37),N37,""))</f>
        <v/>
      </c>
      <c r="AN37" s="15" t="str">
        <f aca="false">IF(AH37&lt;&gt;"",AH37,IF(AND(O37&lt;&gt;"",O37=U37),O37,""))</f>
        <v/>
      </c>
      <c r="AO37" s="15" t="str">
        <f aca="false">IF(AI37&lt;&gt;"",AI37,IF(AND(P37&lt;&gt;"",P37=V37),P37,""))</f>
        <v/>
      </c>
      <c r="AP37" s="15" t="str">
        <f aca="false">IF(AJ37&lt;&gt;"",AJ37,IF(AND(Q37&lt;&gt;"",Q37=W37),Q37,""))</f>
        <v/>
      </c>
      <c r="AQ37" s="15" t="str">
        <f aca="false">IF(AK37&lt;&gt;"",AK37,IF(AND(R37&lt;&gt;"",R37=X37),R37,""))</f>
        <v/>
      </c>
      <c r="AR37" s="16"/>
      <c r="AS37" s="9" t="str">
        <f aca="false">IF(COUNTA(M37:R37)+COUNTA(S37:X37)&lt;12,"Menunggu coder",IF(AE37=0,"Sepakat",IF(SUMPRODUCT((Y37:AD37="Beda")*(AF37:AK37=""))=0,"Selesai adjudikasi","Perlu adjudikasi")))</f>
        <v>Menunggu coder</v>
      </c>
      <c r="AT37" s="10" t="str">
        <f aca="false">IF(COUNTIF(AL37:AQ37,"?*")&lt;6,"",IF(IF(AND(AM37="R0",AQ37&lt;&gt;"K5"),"R0 harus K5; ","")&amp;IF(AND(AM37="R1",AQ37="K3"),"R1 tidak boleh K3 (fungsional); ","")&amp;IF(AND(AM37="R2",AQ37="K5"),"R2 tidak boleh K5; ","")&amp;IF(AND(AM37="R2",OR(AL37="S6",AL37="S7",AL37="S8")),"R2 tidak boleh S6/S7/S8; ","")&amp;IF(AND(AO37="P9",AN37&lt;&gt;"T17"),"P9 hanya dengan T17; ","")&amp;IF(AND(OR(AN37="T17",AO37="P9"),AM37&lt;&gt;"R0"),"T17/P9 harus R0; ","")&amp;IF(AND(AN37="T01",AO37&lt;&gt;"P6"),"T01 biasanya P6 (periksa); ","")&amp;IF(AND(AO37="P1",AQ37&lt;&gt;"K4"),"P1 biasanya K4 (periksa); ","")="","OK",IF(AND(AM37="R0",AQ37&lt;&gt;"K5"),"R0 harus K5; ","")&amp;IF(AND(AM37="R1",AQ37="K3"),"R1 tidak boleh K3 (fungsional); ","")&amp;IF(AND(AM37="R2",AQ37="K5"),"R2 tidak boleh K5; ","")&amp;IF(AND(AM37="R2",OR(AL37="S6",AL37="S7",AL37="S8")),"R2 tidak boleh S6/S7/S8; ","")&amp;IF(AND(AO37="P9",AN37&lt;&gt;"T17"),"P9 hanya dengan T17; ","")&amp;IF(AND(OR(AN37="T17",AO37="P9"),AM37&lt;&gt;"R0"),"T17/P9 harus R0; ","")&amp;IF(AND(AN37="T01",AO37&lt;&gt;"P6"),"T01 biasanya P6 (periksa); ","")&amp;IF(AND(AO37="P1",AQ37&lt;&gt;"K4"),"P1 biasanya K4 (periksa); ","")))</f>
        <v/>
      </c>
    </row>
    <row r="38" customFormat="false" ht="48" hidden="false" customHeight="true" outlineLevel="0" collapsed="false">
      <c r="A38" s="9" t="n">
        <v>35</v>
      </c>
      <c r="B38" s="10" t="str">
        <f aca="false">IF(INDEX(Korpus!$A:$A,$A38)="","",INDEX(Korpus!$A:$A,$A38))</f>
        <v/>
      </c>
      <c r="C38" s="10" t="str">
        <f aca="false">TRIM(INDEX(Korpus!$D:$D,$A38)&amp;" "&amp;INDEX(Korpus!$E:$E,$A38))</f>
        <v/>
      </c>
      <c r="D38" s="10" t="str">
        <f aca="false">IF(INDEX(Korpus!$B:$B,$A38)="","",INDEX(Korpus!$B:$B,$A38))</f>
        <v/>
      </c>
      <c r="E38" s="10" t="str">
        <f aca="false">IF(INDEX(Korpus!$C:$C,$A38)="","",INDEX(Korpus!$C:$C,$A38))</f>
        <v/>
      </c>
      <c r="F38" s="10" t="str">
        <f aca="false">IF(INDEX(Korpus!$F:$F,$A38)="","",INDEX(Korpus!$F:$F,$A38))</f>
        <v/>
      </c>
      <c r="G38" s="11"/>
      <c r="H38" s="11"/>
      <c r="I38" s="11"/>
      <c r="J38" s="11"/>
      <c r="K38" s="11"/>
      <c r="L38" s="11"/>
      <c r="M38" s="12"/>
      <c r="N38" s="12"/>
      <c r="O38" s="12"/>
      <c r="P38" s="12"/>
      <c r="Q38" s="12"/>
      <c r="R38" s="12"/>
      <c r="S38" s="13"/>
      <c r="T38" s="13"/>
      <c r="U38" s="13"/>
      <c r="V38" s="13"/>
      <c r="W38" s="13"/>
      <c r="X38" s="13"/>
      <c r="Y38" s="9" t="str">
        <f aca="false">IF(OR(M38="",S38=""),"",IF(M38=S38,"Sama","Beda"))</f>
        <v/>
      </c>
      <c r="Z38" s="9" t="str">
        <f aca="false">IF(OR(N38="",T38=""),"",IF(N38=T38,"Sama","Beda"))</f>
        <v/>
      </c>
      <c r="AA38" s="9" t="str">
        <f aca="false">IF(OR(O38="",U38=""),"",IF(O38=U38,"Sama","Beda"))</f>
        <v/>
      </c>
      <c r="AB38" s="9" t="str">
        <f aca="false">IF(OR(P38="",V38=""),"",IF(P38=V38,"Sama","Beda"))</f>
        <v/>
      </c>
      <c r="AC38" s="9" t="str">
        <f aca="false">IF(OR(Q38="",W38=""),"",IF(Q38=W38,"Sama","Beda"))</f>
        <v/>
      </c>
      <c r="AD38" s="9" t="str">
        <f aca="false">IF(OR(R38="",X38=""),"",IF(R38=X38,"Sama","Beda"))</f>
        <v/>
      </c>
      <c r="AE38" s="9" t="n">
        <f aca="false">COUNTIF(Y38:AD38,"Beda")</f>
        <v>0</v>
      </c>
      <c r="AF38" s="14"/>
      <c r="AG38" s="14"/>
      <c r="AH38" s="14"/>
      <c r="AI38" s="14"/>
      <c r="AJ38" s="14"/>
      <c r="AK38" s="14"/>
      <c r="AL38" s="15" t="str">
        <f aca="false">IF(AF38&lt;&gt;"",AF38,IF(AND(M38&lt;&gt;"",M38=S38),M38,""))</f>
        <v/>
      </c>
      <c r="AM38" s="15" t="str">
        <f aca="false">IF(AG38&lt;&gt;"",AG38,IF(AND(N38&lt;&gt;"",N38=T38),N38,""))</f>
        <v/>
      </c>
      <c r="AN38" s="15" t="str">
        <f aca="false">IF(AH38&lt;&gt;"",AH38,IF(AND(O38&lt;&gt;"",O38=U38),O38,""))</f>
        <v/>
      </c>
      <c r="AO38" s="15" t="str">
        <f aca="false">IF(AI38&lt;&gt;"",AI38,IF(AND(P38&lt;&gt;"",P38=V38),P38,""))</f>
        <v/>
      </c>
      <c r="AP38" s="15" t="str">
        <f aca="false">IF(AJ38&lt;&gt;"",AJ38,IF(AND(Q38&lt;&gt;"",Q38=W38),Q38,""))</f>
        <v/>
      </c>
      <c r="AQ38" s="15" t="str">
        <f aca="false">IF(AK38&lt;&gt;"",AK38,IF(AND(R38&lt;&gt;"",R38=X38),R38,""))</f>
        <v/>
      </c>
      <c r="AR38" s="16"/>
      <c r="AS38" s="9" t="str">
        <f aca="false">IF(COUNTA(M38:R38)+COUNTA(S38:X38)&lt;12,"Menunggu coder",IF(AE38=0,"Sepakat",IF(SUMPRODUCT((Y38:AD38="Beda")*(AF38:AK38=""))=0,"Selesai adjudikasi","Perlu adjudikasi")))</f>
        <v>Menunggu coder</v>
      </c>
      <c r="AT38" s="10" t="str">
        <f aca="false">IF(COUNTIF(AL38:AQ38,"?*")&lt;6,"",IF(IF(AND(AM38="R0",AQ38&lt;&gt;"K5"),"R0 harus K5; ","")&amp;IF(AND(AM38="R1",AQ38="K3"),"R1 tidak boleh K3 (fungsional); ","")&amp;IF(AND(AM38="R2",AQ38="K5"),"R2 tidak boleh K5; ","")&amp;IF(AND(AM38="R2",OR(AL38="S6",AL38="S7",AL38="S8")),"R2 tidak boleh S6/S7/S8; ","")&amp;IF(AND(AO38="P9",AN38&lt;&gt;"T17"),"P9 hanya dengan T17; ","")&amp;IF(AND(OR(AN38="T17",AO38="P9"),AM38&lt;&gt;"R0"),"T17/P9 harus R0; ","")&amp;IF(AND(AN38="T01",AO38&lt;&gt;"P6"),"T01 biasanya P6 (periksa); ","")&amp;IF(AND(AO38="P1",AQ38&lt;&gt;"K4"),"P1 biasanya K4 (periksa); ","")="","OK",IF(AND(AM38="R0",AQ38&lt;&gt;"K5"),"R0 harus K5; ","")&amp;IF(AND(AM38="R1",AQ38="K3"),"R1 tidak boleh K3 (fungsional); ","")&amp;IF(AND(AM38="R2",AQ38="K5"),"R2 tidak boleh K5; ","")&amp;IF(AND(AM38="R2",OR(AL38="S6",AL38="S7",AL38="S8")),"R2 tidak boleh S6/S7/S8; ","")&amp;IF(AND(AO38="P9",AN38&lt;&gt;"T17"),"P9 hanya dengan T17; ","")&amp;IF(AND(OR(AN38="T17",AO38="P9"),AM38&lt;&gt;"R0"),"T17/P9 harus R0; ","")&amp;IF(AND(AN38="T01",AO38&lt;&gt;"P6"),"T01 biasanya P6 (periksa); ","")&amp;IF(AND(AO38="P1",AQ38&lt;&gt;"K4"),"P1 biasanya K4 (periksa); ","")))</f>
        <v/>
      </c>
    </row>
    <row r="39" customFormat="false" ht="48" hidden="false" customHeight="true" outlineLevel="0" collapsed="false">
      <c r="A39" s="9" t="n">
        <v>36</v>
      </c>
      <c r="B39" s="10" t="str">
        <f aca="false">IF(INDEX(Korpus!$A:$A,$A39)="","",INDEX(Korpus!$A:$A,$A39))</f>
        <v/>
      </c>
      <c r="C39" s="10" t="str">
        <f aca="false">TRIM(INDEX(Korpus!$D:$D,$A39)&amp;" "&amp;INDEX(Korpus!$E:$E,$A39))</f>
        <v/>
      </c>
      <c r="D39" s="10" t="str">
        <f aca="false">IF(INDEX(Korpus!$B:$B,$A39)="","",INDEX(Korpus!$B:$B,$A39))</f>
        <v/>
      </c>
      <c r="E39" s="10" t="str">
        <f aca="false">IF(INDEX(Korpus!$C:$C,$A39)="","",INDEX(Korpus!$C:$C,$A39))</f>
        <v/>
      </c>
      <c r="F39" s="10" t="str">
        <f aca="false">IF(INDEX(Korpus!$F:$F,$A39)="","",INDEX(Korpus!$F:$F,$A39))</f>
        <v/>
      </c>
      <c r="G39" s="11"/>
      <c r="H39" s="11"/>
      <c r="I39" s="11"/>
      <c r="J39" s="11"/>
      <c r="K39" s="11"/>
      <c r="L39" s="11"/>
      <c r="M39" s="12"/>
      <c r="N39" s="12"/>
      <c r="O39" s="12"/>
      <c r="P39" s="12"/>
      <c r="Q39" s="12"/>
      <c r="R39" s="12"/>
      <c r="S39" s="13"/>
      <c r="T39" s="13"/>
      <c r="U39" s="13"/>
      <c r="V39" s="13"/>
      <c r="W39" s="13"/>
      <c r="X39" s="13"/>
      <c r="Y39" s="9" t="str">
        <f aca="false">IF(OR(M39="",S39=""),"",IF(M39=S39,"Sama","Beda"))</f>
        <v/>
      </c>
      <c r="Z39" s="9" t="str">
        <f aca="false">IF(OR(N39="",T39=""),"",IF(N39=T39,"Sama","Beda"))</f>
        <v/>
      </c>
      <c r="AA39" s="9" t="str">
        <f aca="false">IF(OR(O39="",U39=""),"",IF(O39=U39,"Sama","Beda"))</f>
        <v/>
      </c>
      <c r="AB39" s="9" t="str">
        <f aca="false">IF(OR(P39="",V39=""),"",IF(P39=V39,"Sama","Beda"))</f>
        <v/>
      </c>
      <c r="AC39" s="9" t="str">
        <f aca="false">IF(OR(Q39="",W39=""),"",IF(Q39=W39,"Sama","Beda"))</f>
        <v/>
      </c>
      <c r="AD39" s="9" t="str">
        <f aca="false">IF(OR(R39="",X39=""),"",IF(R39=X39,"Sama","Beda"))</f>
        <v/>
      </c>
      <c r="AE39" s="9" t="n">
        <f aca="false">COUNTIF(Y39:AD39,"Beda")</f>
        <v>0</v>
      </c>
      <c r="AF39" s="14"/>
      <c r="AG39" s="14"/>
      <c r="AH39" s="14"/>
      <c r="AI39" s="14"/>
      <c r="AJ39" s="14"/>
      <c r="AK39" s="14"/>
      <c r="AL39" s="15" t="str">
        <f aca="false">IF(AF39&lt;&gt;"",AF39,IF(AND(M39&lt;&gt;"",M39=S39),M39,""))</f>
        <v/>
      </c>
      <c r="AM39" s="15" t="str">
        <f aca="false">IF(AG39&lt;&gt;"",AG39,IF(AND(N39&lt;&gt;"",N39=T39),N39,""))</f>
        <v/>
      </c>
      <c r="AN39" s="15" t="str">
        <f aca="false">IF(AH39&lt;&gt;"",AH39,IF(AND(O39&lt;&gt;"",O39=U39),O39,""))</f>
        <v/>
      </c>
      <c r="AO39" s="15" t="str">
        <f aca="false">IF(AI39&lt;&gt;"",AI39,IF(AND(P39&lt;&gt;"",P39=V39),P39,""))</f>
        <v/>
      </c>
      <c r="AP39" s="15" t="str">
        <f aca="false">IF(AJ39&lt;&gt;"",AJ39,IF(AND(Q39&lt;&gt;"",Q39=W39),Q39,""))</f>
        <v/>
      </c>
      <c r="AQ39" s="15" t="str">
        <f aca="false">IF(AK39&lt;&gt;"",AK39,IF(AND(R39&lt;&gt;"",R39=X39),R39,""))</f>
        <v/>
      </c>
      <c r="AR39" s="16"/>
      <c r="AS39" s="9" t="str">
        <f aca="false">IF(COUNTA(M39:R39)+COUNTA(S39:X39)&lt;12,"Menunggu coder",IF(AE39=0,"Sepakat",IF(SUMPRODUCT((Y39:AD39="Beda")*(AF39:AK39=""))=0,"Selesai adjudikasi","Perlu adjudikasi")))</f>
        <v>Menunggu coder</v>
      </c>
      <c r="AT39" s="10" t="str">
        <f aca="false">IF(COUNTIF(AL39:AQ39,"?*")&lt;6,"",IF(IF(AND(AM39="R0",AQ39&lt;&gt;"K5"),"R0 harus K5; ","")&amp;IF(AND(AM39="R1",AQ39="K3"),"R1 tidak boleh K3 (fungsional); ","")&amp;IF(AND(AM39="R2",AQ39="K5"),"R2 tidak boleh K5; ","")&amp;IF(AND(AM39="R2",OR(AL39="S6",AL39="S7",AL39="S8")),"R2 tidak boleh S6/S7/S8; ","")&amp;IF(AND(AO39="P9",AN39&lt;&gt;"T17"),"P9 hanya dengan T17; ","")&amp;IF(AND(OR(AN39="T17",AO39="P9"),AM39&lt;&gt;"R0"),"T17/P9 harus R0; ","")&amp;IF(AND(AN39="T01",AO39&lt;&gt;"P6"),"T01 biasanya P6 (periksa); ","")&amp;IF(AND(AO39="P1",AQ39&lt;&gt;"K4"),"P1 biasanya K4 (periksa); ","")="","OK",IF(AND(AM39="R0",AQ39&lt;&gt;"K5"),"R0 harus K5; ","")&amp;IF(AND(AM39="R1",AQ39="K3"),"R1 tidak boleh K3 (fungsional); ","")&amp;IF(AND(AM39="R2",AQ39="K5"),"R2 tidak boleh K5; ","")&amp;IF(AND(AM39="R2",OR(AL39="S6",AL39="S7",AL39="S8")),"R2 tidak boleh S6/S7/S8; ","")&amp;IF(AND(AO39="P9",AN39&lt;&gt;"T17"),"P9 hanya dengan T17; ","")&amp;IF(AND(OR(AN39="T17",AO39="P9"),AM39&lt;&gt;"R0"),"T17/P9 harus R0; ","")&amp;IF(AND(AN39="T01",AO39&lt;&gt;"P6"),"T01 biasanya P6 (periksa); ","")&amp;IF(AND(AO39="P1",AQ39&lt;&gt;"K4"),"P1 biasanya K4 (periksa); ","")))</f>
        <v/>
      </c>
    </row>
    <row r="40" customFormat="false" ht="48" hidden="false" customHeight="true" outlineLevel="0" collapsed="false">
      <c r="A40" s="9" t="n">
        <v>37</v>
      </c>
      <c r="B40" s="10" t="str">
        <f aca="false">IF(INDEX(Korpus!$A:$A,$A40)="","",INDEX(Korpus!$A:$A,$A40))</f>
        <v/>
      </c>
      <c r="C40" s="10" t="str">
        <f aca="false">TRIM(INDEX(Korpus!$D:$D,$A40)&amp;" "&amp;INDEX(Korpus!$E:$E,$A40))</f>
        <v/>
      </c>
      <c r="D40" s="10" t="str">
        <f aca="false">IF(INDEX(Korpus!$B:$B,$A40)="","",INDEX(Korpus!$B:$B,$A40))</f>
        <v/>
      </c>
      <c r="E40" s="10" t="str">
        <f aca="false">IF(INDEX(Korpus!$C:$C,$A40)="","",INDEX(Korpus!$C:$C,$A40))</f>
        <v/>
      </c>
      <c r="F40" s="10" t="str">
        <f aca="false">IF(INDEX(Korpus!$F:$F,$A40)="","",INDEX(Korpus!$F:$F,$A40))</f>
        <v/>
      </c>
      <c r="G40" s="11"/>
      <c r="H40" s="11"/>
      <c r="I40" s="11"/>
      <c r="J40" s="11"/>
      <c r="K40" s="11"/>
      <c r="L40" s="11"/>
      <c r="M40" s="12"/>
      <c r="N40" s="12"/>
      <c r="O40" s="12"/>
      <c r="P40" s="12"/>
      <c r="Q40" s="12"/>
      <c r="R40" s="12"/>
      <c r="S40" s="13"/>
      <c r="T40" s="13"/>
      <c r="U40" s="13"/>
      <c r="V40" s="13"/>
      <c r="W40" s="13"/>
      <c r="X40" s="13"/>
      <c r="Y40" s="9" t="str">
        <f aca="false">IF(OR(M40="",S40=""),"",IF(M40=S40,"Sama","Beda"))</f>
        <v/>
      </c>
      <c r="Z40" s="9" t="str">
        <f aca="false">IF(OR(N40="",T40=""),"",IF(N40=T40,"Sama","Beda"))</f>
        <v/>
      </c>
      <c r="AA40" s="9" t="str">
        <f aca="false">IF(OR(O40="",U40=""),"",IF(O40=U40,"Sama","Beda"))</f>
        <v/>
      </c>
      <c r="AB40" s="9" t="str">
        <f aca="false">IF(OR(P40="",V40=""),"",IF(P40=V40,"Sama","Beda"))</f>
        <v/>
      </c>
      <c r="AC40" s="9" t="str">
        <f aca="false">IF(OR(Q40="",W40=""),"",IF(Q40=W40,"Sama","Beda"))</f>
        <v/>
      </c>
      <c r="AD40" s="9" t="str">
        <f aca="false">IF(OR(R40="",X40=""),"",IF(R40=X40,"Sama","Beda"))</f>
        <v/>
      </c>
      <c r="AE40" s="9" t="n">
        <f aca="false">COUNTIF(Y40:AD40,"Beda")</f>
        <v>0</v>
      </c>
      <c r="AF40" s="14"/>
      <c r="AG40" s="14"/>
      <c r="AH40" s="14"/>
      <c r="AI40" s="14"/>
      <c r="AJ40" s="14"/>
      <c r="AK40" s="14"/>
      <c r="AL40" s="15" t="str">
        <f aca="false">IF(AF40&lt;&gt;"",AF40,IF(AND(M40&lt;&gt;"",M40=S40),M40,""))</f>
        <v/>
      </c>
      <c r="AM40" s="15" t="str">
        <f aca="false">IF(AG40&lt;&gt;"",AG40,IF(AND(N40&lt;&gt;"",N40=T40),N40,""))</f>
        <v/>
      </c>
      <c r="AN40" s="15" t="str">
        <f aca="false">IF(AH40&lt;&gt;"",AH40,IF(AND(O40&lt;&gt;"",O40=U40),O40,""))</f>
        <v/>
      </c>
      <c r="AO40" s="15" t="str">
        <f aca="false">IF(AI40&lt;&gt;"",AI40,IF(AND(P40&lt;&gt;"",P40=V40),P40,""))</f>
        <v/>
      </c>
      <c r="AP40" s="15" t="str">
        <f aca="false">IF(AJ40&lt;&gt;"",AJ40,IF(AND(Q40&lt;&gt;"",Q40=W40),Q40,""))</f>
        <v/>
      </c>
      <c r="AQ40" s="15" t="str">
        <f aca="false">IF(AK40&lt;&gt;"",AK40,IF(AND(R40&lt;&gt;"",R40=X40),R40,""))</f>
        <v/>
      </c>
      <c r="AR40" s="16"/>
      <c r="AS40" s="9" t="str">
        <f aca="false">IF(COUNTA(M40:R40)+COUNTA(S40:X40)&lt;12,"Menunggu coder",IF(AE40=0,"Sepakat",IF(SUMPRODUCT((Y40:AD40="Beda")*(AF40:AK40=""))=0,"Selesai adjudikasi","Perlu adjudikasi")))</f>
        <v>Menunggu coder</v>
      </c>
      <c r="AT40" s="10" t="str">
        <f aca="false">IF(COUNTIF(AL40:AQ40,"?*")&lt;6,"",IF(IF(AND(AM40="R0",AQ40&lt;&gt;"K5"),"R0 harus K5; ","")&amp;IF(AND(AM40="R1",AQ40="K3"),"R1 tidak boleh K3 (fungsional); ","")&amp;IF(AND(AM40="R2",AQ40="K5"),"R2 tidak boleh K5; ","")&amp;IF(AND(AM40="R2",OR(AL40="S6",AL40="S7",AL40="S8")),"R2 tidak boleh S6/S7/S8; ","")&amp;IF(AND(AO40="P9",AN40&lt;&gt;"T17"),"P9 hanya dengan T17; ","")&amp;IF(AND(OR(AN40="T17",AO40="P9"),AM40&lt;&gt;"R0"),"T17/P9 harus R0; ","")&amp;IF(AND(AN40="T01",AO40&lt;&gt;"P6"),"T01 biasanya P6 (periksa); ","")&amp;IF(AND(AO40="P1",AQ40&lt;&gt;"K4"),"P1 biasanya K4 (periksa); ","")="","OK",IF(AND(AM40="R0",AQ40&lt;&gt;"K5"),"R0 harus K5; ","")&amp;IF(AND(AM40="R1",AQ40="K3"),"R1 tidak boleh K3 (fungsional); ","")&amp;IF(AND(AM40="R2",AQ40="K5"),"R2 tidak boleh K5; ","")&amp;IF(AND(AM40="R2",OR(AL40="S6",AL40="S7",AL40="S8")),"R2 tidak boleh S6/S7/S8; ","")&amp;IF(AND(AO40="P9",AN40&lt;&gt;"T17"),"P9 hanya dengan T17; ","")&amp;IF(AND(OR(AN40="T17",AO40="P9"),AM40&lt;&gt;"R0"),"T17/P9 harus R0; ","")&amp;IF(AND(AN40="T01",AO40&lt;&gt;"P6"),"T01 biasanya P6 (periksa); ","")&amp;IF(AND(AO40="P1",AQ40&lt;&gt;"K4"),"P1 biasanya K4 (periksa); ","")))</f>
        <v/>
      </c>
    </row>
    <row r="41" customFormat="false" ht="48" hidden="false" customHeight="true" outlineLevel="0" collapsed="false">
      <c r="A41" s="9" t="n">
        <v>38</v>
      </c>
      <c r="B41" s="10" t="str">
        <f aca="false">IF(INDEX(Korpus!$A:$A,$A41)="","",INDEX(Korpus!$A:$A,$A41))</f>
        <v/>
      </c>
      <c r="C41" s="10" t="str">
        <f aca="false">TRIM(INDEX(Korpus!$D:$D,$A41)&amp;" "&amp;INDEX(Korpus!$E:$E,$A41))</f>
        <v/>
      </c>
      <c r="D41" s="10" t="str">
        <f aca="false">IF(INDEX(Korpus!$B:$B,$A41)="","",INDEX(Korpus!$B:$B,$A41))</f>
        <v/>
      </c>
      <c r="E41" s="10" t="str">
        <f aca="false">IF(INDEX(Korpus!$C:$C,$A41)="","",INDEX(Korpus!$C:$C,$A41))</f>
        <v/>
      </c>
      <c r="F41" s="10" t="str">
        <f aca="false">IF(INDEX(Korpus!$F:$F,$A41)="","",INDEX(Korpus!$F:$F,$A41))</f>
        <v/>
      </c>
      <c r="G41" s="11"/>
      <c r="H41" s="11"/>
      <c r="I41" s="11"/>
      <c r="J41" s="11"/>
      <c r="K41" s="11"/>
      <c r="L41" s="11"/>
      <c r="M41" s="12"/>
      <c r="N41" s="12"/>
      <c r="O41" s="12"/>
      <c r="P41" s="12"/>
      <c r="Q41" s="12"/>
      <c r="R41" s="12"/>
      <c r="S41" s="13"/>
      <c r="T41" s="13"/>
      <c r="U41" s="13"/>
      <c r="V41" s="13"/>
      <c r="W41" s="13"/>
      <c r="X41" s="13"/>
      <c r="Y41" s="9" t="str">
        <f aca="false">IF(OR(M41="",S41=""),"",IF(M41=S41,"Sama","Beda"))</f>
        <v/>
      </c>
      <c r="Z41" s="9" t="str">
        <f aca="false">IF(OR(N41="",T41=""),"",IF(N41=T41,"Sama","Beda"))</f>
        <v/>
      </c>
      <c r="AA41" s="9" t="str">
        <f aca="false">IF(OR(O41="",U41=""),"",IF(O41=U41,"Sama","Beda"))</f>
        <v/>
      </c>
      <c r="AB41" s="9" t="str">
        <f aca="false">IF(OR(P41="",V41=""),"",IF(P41=V41,"Sama","Beda"))</f>
        <v/>
      </c>
      <c r="AC41" s="9" t="str">
        <f aca="false">IF(OR(Q41="",W41=""),"",IF(Q41=W41,"Sama","Beda"))</f>
        <v/>
      </c>
      <c r="AD41" s="9" t="str">
        <f aca="false">IF(OR(R41="",X41=""),"",IF(R41=X41,"Sama","Beda"))</f>
        <v/>
      </c>
      <c r="AE41" s="9" t="n">
        <f aca="false">COUNTIF(Y41:AD41,"Beda")</f>
        <v>0</v>
      </c>
      <c r="AF41" s="14"/>
      <c r="AG41" s="14"/>
      <c r="AH41" s="14"/>
      <c r="AI41" s="14"/>
      <c r="AJ41" s="14"/>
      <c r="AK41" s="14"/>
      <c r="AL41" s="15" t="str">
        <f aca="false">IF(AF41&lt;&gt;"",AF41,IF(AND(M41&lt;&gt;"",M41=S41),M41,""))</f>
        <v/>
      </c>
      <c r="AM41" s="15" t="str">
        <f aca="false">IF(AG41&lt;&gt;"",AG41,IF(AND(N41&lt;&gt;"",N41=T41),N41,""))</f>
        <v/>
      </c>
      <c r="AN41" s="15" t="str">
        <f aca="false">IF(AH41&lt;&gt;"",AH41,IF(AND(O41&lt;&gt;"",O41=U41),O41,""))</f>
        <v/>
      </c>
      <c r="AO41" s="15" t="str">
        <f aca="false">IF(AI41&lt;&gt;"",AI41,IF(AND(P41&lt;&gt;"",P41=V41),P41,""))</f>
        <v/>
      </c>
      <c r="AP41" s="15" t="str">
        <f aca="false">IF(AJ41&lt;&gt;"",AJ41,IF(AND(Q41&lt;&gt;"",Q41=W41),Q41,""))</f>
        <v/>
      </c>
      <c r="AQ41" s="15" t="str">
        <f aca="false">IF(AK41&lt;&gt;"",AK41,IF(AND(R41&lt;&gt;"",R41=X41),R41,""))</f>
        <v/>
      </c>
      <c r="AR41" s="16"/>
      <c r="AS41" s="9" t="str">
        <f aca="false">IF(COUNTA(M41:R41)+COUNTA(S41:X41)&lt;12,"Menunggu coder",IF(AE41=0,"Sepakat",IF(SUMPRODUCT((Y41:AD41="Beda")*(AF41:AK41=""))=0,"Selesai adjudikasi","Perlu adjudikasi")))</f>
        <v>Menunggu coder</v>
      </c>
      <c r="AT41" s="10" t="str">
        <f aca="false">IF(COUNTIF(AL41:AQ41,"?*")&lt;6,"",IF(IF(AND(AM41="R0",AQ41&lt;&gt;"K5"),"R0 harus K5; ","")&amp;IF(AND(AM41="R1",AQ41="K3"),"R1 tidak boleh K3 (fungsional); ","")&amp;IF(AND(AM41="R2",AQ41="K5"),"R2 tidak boleh K5; ","")&amp;IF(AND(AM41="R2",OR(AL41="S6",AL41="S7",AL41="S8")),"R2 tidak boleh S6/S7/S8; ","")&amp;IF(AND(AO41="P9",AN41&lt;&gt;"T17"),"P9 hanya dengan T17; ","")&amp;IF(AND(OR(AN41="T17",AO41="P9"),AM41&lt;&gt;"R0"),"T17/P9 harus R0; ","")&amp;IF(AND(AN41="T01",AO41&lt;&gt;"P6"),"T01 biasanya P6 (periksa); ","")&amp;IF(AND(AO41="P1",AQ41&lt;&gt;"K4"),"P1 biasanya K4 (periksa); ","")="","OK",IF(AND(AM41="R0",AQ41&lt;&gt;"K5"),"R0 harus K5; ","")&amp;IF(AND(AM41="R1",AQ41="K3"),"R1 tidak boleh K3 (fungsional); ","")&amp;IF(AND(AM41="R2",AQ41="K5"),"R2 tidak boleh K5; ","")&amp;IF(AND(AM41="R2",OR(AL41="S6",AL41="S7",AL41="S8")),"R2 tidak boleh S6/S7/S8; ","")&amp;IF(AND(AO41="P9",AN41&lt;&gt;"T17"),"P9 hanya dengan T17; ","")&amp;IF(AND(OR(AN41="T17",AO41="P9"),AM41&lt;&gt;"R0"),"T17/P9 harus R0; ","")&amp;IF(AND(AN41="T01",AO41&lt;&gt;"P6"),"T01 biasanya P6 (periksa); ","")&amp;IF(AND(AO41="P1",AQ41&lt;&gt;"K4"),"P1 biasanya K4 (periksa); ","")))</f>
        <v/>
      </c>
    </row>
    <row r="42" customFormat="false" ht="48" hidden="false" customHeight="true" outlineLevel="0" collapsed="false">
      <c r="A42" s="9" t="n">
        <v>39</v>
      </c>
      <c r="B42" s="10" t="str">
        <f aca="false">IF(INDEX(Korpus!$A:$A,$A42)="","",INDEX(Korpus!$A:$A,$A42))</f>
        <v/>
      </c>
      <c r="C42" s="10" t="str">
        <f aca="false">TRIM(INDEX(Korpus!$D:$D,$A42)&amp;" "&amp;INDEX(Korpus!$E:$E,$A42))</f>
        <v/>
      </c>
      <c r="D42" s="10" t="str">
        <f aca="false">IF(INDEX(Korpus!$B:$B,$A42)="","",INDEX(Korpus!$B:$B,$A42))</f>
        <v/>
      </c>
      <c r="E42" s="10" t="str">
        <f aca="false">IF(INDEX(Korpus!$C:$C,$A42)="","",INDEX(Korpus!$C:$C,$A42))</f>
        <v/>
      </c>
      <c r="F42" s="10" t="str">
        <f aca="false">IF(INDEX(Korpus!$F:$F,$A42)="","",INDEX(Korpus!$F:$F,$A42))</f>
        <v/>
      </c>
      <c r="G42" s="11"/>
      <c r="H42" s="11"/>
      <c r="I42" s="11"/>
      <c r="J42" s="11"/>
      <c r="K42" s="11"/>
      <c r="L42" s="11"/>
      <c r="M42" s="12"/>
      <c r="N42" s="12"/>
      <c r="O42" s="12"/>
      <c r="P42" s="12"/>
      <c r="Q42" s="12"/>
      <c r="R42" s="12"/>
      <c r="S42" s="13"/>
      <c r="T42" s="13"/>
      <c r="U42" s="13"/>
      <c r="V42" s="13"/>
      <c r="W42" s="13"/>
      <c r="X42" s="13"/>
      <c r="Y42" s="9" t="str">
        <f aca="false">IF(OR(M42="",S42=""),"",IF(M42=S42,"Sama","Beda"))</f>
        <v/>
      </c>
      <c r="Z42" s="9" t="str">
        <f aca="false">IF(OR(N42="",T42=""),"",IF(N42=T42,"Sama","Beda"))</f>
        <v/>
      </c>
      <c r="AA42" s="9" t="str">
        <f aca="false">IF(OR(O42="",U42=""),"",IF(O42=U42,"Sama","Beda"))</f>
        <v/>
      </c>
      <c r="AB42" s="9" t="str">
        <f aca="false">IF(OR(P42="",V42=""),"",IF(P42=V42,"Sama","Beda"))</f>
        <v/>
      </c>
      <c r="AC42" s="9" t="str">
        <f aca="false">IF(OR(Q42="",W42=""),"",IF(Q42=W42,"Sama","Beda"))</f>
        <v/>
      </c>
      <c r="AD42" s="9" t="str">
        <f aca="false">IF(OR(R42="",X42=""),"",IF(R42=X42,"Sama","Beda"))</f>
        <v/>
      </c>
      <c r="AE42" s="9" t="n">
        <f aca="false">COUNTIF(Y42:AD42,"Beda")</f>
        <v>0</v>
      </c>
      <c r="AF42" s="14"/>
      <c r="AG42" s="14"/>
      <c r="AH42" s="14"/>
      <c r="AI42" s="14"/>
      <c r="AJ42" s="14"/>
      <c r="AK42" s="14"/>
      <c r="AL42" s="15" t="str">
        <f aca="false">IF(AF42&lt;&gt;"",AF42,IF(AND(M42&lt;&gt;"",M42=S42),M42,""))</f>
        <v/>
      </c>
      <c r="AM42" s="15" t="str">
        <f aca="false">IF(AG42&lt;&gt;"",AG42,IF(AND(N42&lt;&gt;"",N42=T42),N42,""))</f>
        <v/>
      </c>
      <c r="AN42" s="15" t="str">
        <f aca="false">IF(AH42&lt;&gt;"",AH42,IF(AND(O42&lt;&gt;"",O42=U42),O42,""))</f>
        <v/>
      </c>
      <c r="AO42" s="15" t="str">
        <f aca="false">IF(AI42&lt;&gt;"",AI42,IF(AND(P42&lt;&gt;"",P42=V42),P42,""))</f>
        <v/>
      </c>
      <c r="AP42" s="15" t="str">
        <f aca="false">IF(AJ42&lt;&gt;"",AJ42,IF(AND(Q42&lt;&gt;"",Q42=W42),Q42,""))</f>
        <v/>
      </c>
      <c r="AQ42" s="15" t="str">
        <f aca="false">IF(AK42&lt;&gt;"",AK42,IF(AND(R42&lt;&gt;"",R42=X42),R42,""))</f>
        <v/>
      </c>
      <c r="AR42" s="16"/>
      <c r="AS42" s="9" t="str">
        <f aca="false">IF(COUNTA(M42:R42)+COUNTA(S42:X42)&lt;12,"Menunggu coder",IF(AE42=0,"Sepakat",IF(SUMPRODUCT((Y42:AD42="Beda")*(AF42:AK42=""))=0,"Selesai adjudikasi","Perlu adjudikasi")))</f>
        <v>Menunggu coder</v>
      </c>
      <c r="AT42" s="10" t="str">
        <f aca="false">IF(COUNTIF(AL42:AQ42,"?*")&lt;6,"",IF(IF(AND(AM42="R0",AQ42&lt;&gt;"K5"),"R0 harus K5; ","")&amp;IF(AND(AM42="R1",AQ42="K3"),"R1 tidak boleh K3 (fungsional); ","")&amp;IF(AND(AM42="R2",AQ42="K5"),"R2 tidak boleh K5; ","")&amp;IF(AND(AM42="R2",OR(AL42="S6",AL42="S7",AL42="S8")),"R2 tidak boleh S6/S7/S8; ","")&amp;IF(AND(AO42="P9",AN42&lt;&gt;"T17"),"P9 hanya dengan T17; ","")&amp;IF(AND(OR(AN42="T17",AO42="P9"),AM42&lt;&gt;"R0"),"T17/P9 harus R0; ","")&amp;IF(AND(AN42="T01",AO42&lt;&gt;"P6"),"T01 biasanya P6 (periksa); ","")&amp;IF(AND(AO42="P1",AQ42&lt;&gt;"K4"),"P1 biasanya K4 (periksa); ","")="","OK",IF(AND(AM42="R0",AQ42&lt;&gt;"K5"),"R0 harus K5; ","")&amp;IF(AND(AM42="R1",AQ42="K3"),"R1 tidak boleh K3 (fungsional); ","")&amp;IF(AND(AM42="R2",AQ42="K5"),"R2 tidak boleh K5; ","")&amp;IF(AND(AM42="R2",OR(AL42="S6",AL42="S7",AL42="S8")),"R2 tidak boleh S6/S7/S8; ","")&amp;IF(AND(AO42="P9",AN42&lt;&gt;"T17"),"P9 hanya dengan T17; ","")&amp;IF(AND(OR(AN42="T17",AO42="P9"),AM42&lt;&gt;"R0"),"T17/P9 harus R0; ","")&amp;IF(AND(AN42="T01",AO42&lt;&gt;"P6"),"T01 biasanya P6 (periksa); ","")&amp;IF(AND(AO42="P1",AQ42&lt;&gt;"K4"),"P1 biasanya K4 (periksa); ","")))</f>
        <v/>
      </c>
    </row>
    <row r="43" customFormat="false" ht="48" hidden="false" customHeight="true" outlineLevel="0" collapsed="false">
      <c r="A43" s="9" t="n">
        <v>40</v>
      </c>
      <c r="B43" s="10" t="str">
        <f aca="false">IF(INDEX(Korpus!$A:$A,$A43)="","",INDEX(Korpus!$A:$A,$A43))</f>
        <v/>
      </c>
      <c r="C43" s="10" t="str">
        <f aca="false">TRIM(INDEX(Korpus!$D:$D,$A43)&amp;" "&amp;INDEX(Korpus!$E:$E,$A43))</f>
        <v/>
      </c>
      <c r="D43" s="10" t="str">
        <f aca="false">IF(INDEX(Korpus!$B:$B,$A43)="","",INDEX(Korpus!$B:$B,$A43))</f>
        <v/>
      </c>
      <c r="E43" s="10" t="str">
        <f aca="false">IF(INDEX(Korpus!$C:$C,$A43)="","",INDEX(Korpus!$C:$C,$A43))</f>
        <v/>
      </c>
      <c r="F43" s="10" t="str">
        <f aca="false">IF(INDEX(Korpus!$F:$F,$A43)="","",INDEX(Korpus!$F:$F,$A43))</f>
        <v/>
      </c>
      <c r="G43" s="11"/>
      <c r="H43" s="11"/>
      <c r="I43" s="11"/>
      <c r="J43" s="11"/>
      <c r="K43" s="11"/>
      <c r="L43" s="11"/>
      <c r="M43" s="12"/>
      <c r="N43" s="12"/>
      <c r="O43" s="12"/>
      <c r="P43" s="12"/>
      <c r="Q43" s="12"/>
      <c r="R43" s="12"/>
      <c r="S43" s="13"/>
      <c r="T43" s="13"/>
      <c r="U43" s="13"/>
      <c r="V43" s="13"/>
      <c r="W43" s="13"/>
      <c r="X43" s="13"/>
      <c r="Y43" s="9" t="str">
        <f aca="false">IF(OR(M43="",S43=""),"",IF(M43=S43,"Sama","Beda"))</f>
        <v/>
      </c>
      <c r="Z43" s="9" t="str">
        <f aca="false">IF(OR(N43="",T43=""),"",IF(N43=T43,"Sama","Beda"))</f>
        <v/>
      </c>
      <c r="AA43" s="9" t="str">
        <f aca="false">IF(OR(O43="",U43=""),"",IF(O43=U43,"Sama","Beda"))</f>
        <v/>
      </c>
      <c r="AB43" s="9" t="str">
        <f aca="false">IF(OR(P43="",V43=""),"",IF(P43=V43,"Sama","Beda"))</f>
        <v/>
      </c>
      <c r="AC43" s="9" t="str">
        <f aca="false">IF(OR(Q43="",W43=""),"",IF(Q43=W43,"Sama","Beda"))</f>
        <v/>
      </c>
      <c r="AD43" s="9" t="str">
        <f aca="false">IF(OR(R43="",X43=""),"",IF(R43=X43,"Sama","Beda"))</f>
        <v/>
      </c>
      <c r="AE43" s="9" t="n">
        <f aca="false">COUNTIF(Y43:AD43,"Beda")</f>
        <v>0</v>
      </c>
      <c r="AF43" s="14"/>
      <c r="AG43" s="14"/>
      <c r="AH43" s="14"/>
      <c r="AI43" s="14"/>
      <c r="AJ43" s="14"/>
      <c r="AK43" s="14"/>
      <c r="AL43" s="15" t="str">
        <f aca="false">IF(AF43&lt;&gt;"",AF43,IF(AND(M43&lt;&gt;"",M43=S43),M43,""))</f>
        <v/>
      </c>
      <c r="AM43" s="15" t="str">
        <f aca="false">IF(AG43&lt;&gt;"",AG43,IF(AND(N43&lt;&gt;"",N43=T43),N43,""))</f>
        <v/>
      </c>
      <c r="AN43" s="15" t="str">
        <f aca="false">IF(AH43&lt;&gt;"",AH43,IF(AND(O43&lt;&gt;"",O43=U43),O43,""))</f>
        <v/>
      </c>
      <c r="AO43" s="15" t="str">
        <f aca="false">IF(AI43&lt;&gt;"",AI43,IF(AND(P43&lt;&gt;"",P43=V43),P43,""))</f>
        <v/>
      </c>
      <c r="AP43" s="15" t="str">
        <f aca="false">IF(AJ43&lt;&gt;"",AJ43,IF(AND(Q43&lt;&gt;"",Q43=W43),Q43,""))</f>
        <v/>
      </c>
      <c r="AQ43" s="15" t="str">
        <f aca="false">IF(AK43&lt;&gt;"",AK43,IF(AND(R43&lt;&gt;"",R43=X43),R43,""))</f>
        <v/>
      </c>
      <c r="AR43" s="16"/>
      <c r="AS43" s="9" t="str">
        <f aca="false">IF(COUNTA(M43:R43)+COUNTA(S43:X43)&lt;12,"Menunggu coder",IF(AE43=0,"Sepakat",IF(SUMPRODUCT((Y43:AD43="Beda")*(AF43:AK43=""))=0,"Selesai adjudikasi","Perlu adjudikasi")))</f>
        <v>Menunggu coder</v>
      </c>
      <c r="AT43" s="10" t="str">
        <f aca="false">IF(COUNTIF(AL43:AQ43,"?*")&lt;6,"",IF(IF(AND(AM43="R0",AQ43&lt;&gt;"K5"),"R0 harus K5; ","")&amp;IF(AND(AM43="R1",AQ43="K3"),"R1 tidak boleh K3 (fungsional); ","")&amp;IF(AND(AM43="R2",AQ43="K5"),"R2 tidak boleh K5; ","")&amp;IF(AND(AM43="R2",OR(AL43="S6",AL43="S7",AL43="S8")),"R2 tidak boleh S6/S7/S8; ","")&amp;IF(AND(AO43="P9",AN43&lt;&gt;"T17"),"P9 hanya dengan T17; ","")&amp;IF(AND(OR(AN43="T17",AO43="P9"),AM43&lt;&gt;"R0"),"T17/P9 harus R0; ","")&amp;IF(AND(AN43="T01",AO43&lt;&gt;"P6"),"T01 biasanya P6 (periksa); ","")&amp;IF(AND(AO43="P1",AQ43&lt;&gt;"K4"),"P1 biasanya K4 (periksa); ","")="","OK",IF(AND(AM43="R0",AQ43&lt;&gt;"K5"),"R0 harus K5; ","")&amp;IF(AND(AM43="R1",AQ43="K3"),"R1 tidak boleh K3 (fungsional); ","")&amp;IF(AND(AM43="R2",AQ43="K5"),"R2 tidak boleh K5; ","")&amp;IF(AND(AM43="R2",OR(AL43="S6",AL43="S7",AL43="S8")),"R2 tidak boleh S6/S7/S8; ","")&amp;IF(AND(AO43="P9",AN43&lt;&gt;"T17"),"P9 hanya dengan T17; ","")&amp;IF(AND(OR(AN43="T17",AO43="P9"),AM43&lt;&gt;"R0"),"T17/P9 harus R0; ","")&amp;IF(AND(AN43="T01",AO43&lt;&gt;"P6"),"T01 biasanya P6 (periksa); ","")&amp;IF(AND(AO43="P1",AQ43&lt;&gt;"K4"),"P1 biasanya K4 (periksa); ","")))</f>
        <v/>
      </c>
    </row>
    <row r="44" customFormat="false" ht="48" hidden="false" customHeight="true" outlineLevel="0" collapsed="false">
      <c r="A44" s="9" t="n">
        <v>41</v>
      </c>
      <c r="B44" s="10" t="str">
        <f aca="false">IF(INDEX(Korpus!$A:$A,$A44)="","",INDEX(Korpus!$A:$A,$A44))</f>
        <v/>
      </c>
      <c r="C44" s="10" t="str">
        <f aca="false">TRIM(INDEX(Korpus!$D:$D,$A44)&amp;" "&amp;INDEX(Korpus!$E:$E,$A44))</f>
        <v/>
      </c>
      <c r="D44" s="10" t="str">
        <f aca="false">IF(INDEX(Korpus!$B:$B,$A44)="","",INDEX(Korpus!$B:$B,$A44))</f>
        <v/>
      </c>
      <c r="E44" s="10" t="str">
        <f aca="false">IF(INDEX(Korpus!$C:$C,$A44)="","",INDEX(Korpus!$C:$C,$A44))</f>
        <v/>
      </c>
      <c r="F44" s="10" t="str">
        <f aca="false">IF(INDEX(Korpus!$F:$F,$A44)="","",INDEX(Korpus!$F:$F,$A44))</f>
        <v/>
      </c>
      <c r="G44" s="11"/>
      <c r="H44" s="11"/>
      <c r="I44" s="11"/>
      <c r="J44" s="11"/>
      <c r="K44" s="11"/>
      <c r="L44" s="11"/>
      <c r="M44" s="12"/>
      <c r="N44" s="12"/>
      <c r="O44" s="12"/>
      <c r="P44" s="12"/>
      <c r="Q44" s="12"/>
      <c r="R44" s="12"/>
      <c r="S44" s="13"/>
      <c r="T44" s="13"/>
      <c r="U44" s="13"/>
      <c r="V44" s="13"/>
      <c r="W44" s="13"/>
      <c r="X44" s="13"/>
      <c r="Y44" s="9" t="str">
        <f aca="false">IF(OR(M44="",S44=""),"",IF(M44=S44,"Sama","Beda"))</f>
        <v/>
      </c>
      <c r="Z44" s="9" t="str">
        <f aca="false">IF(OR(N44="",T44=""),"",IF(N44=T44,"Sama","Beda"))</f>
        <v/>
      </c>
      <c r="AA44" s="9" t="str">
        <f aca="false">IF(OR(O44="",U44=""),"",IF(O44=U44,"Sama","Beda"))</f>
        <v/>
      </c>
      <c r="AB44" s="9" t="str">
        <f aca="false">IF(OR(P44="",V44=""),"",IF(P44=V44,"Sama","Beda"))</f>
        <v/>
      </c>
      <c r="AC44" s="9" t="str">
        <f aca="false">IF(OR(Q44="",W44=""),"",IF(Q44=W44,"Sama","Beda"))</f>
        <v/>
      </c>
      <c r="AD44" s="9" t="str">
        <f aca="false">IF(OR(R44="",X44=""),"",IF(R44=X44,"Sama","Beda"))</f>
        <v/>
      </c>
      <c r="AE44" s="9" t="n">
        <f aca="false">COUNTIF(Y44:AD44,"Beda")</f>
        <v>0</v>
      </c>
      <c r="AF44" s="14"/>
      <c r="AG44" s="14"/>
      <c r="AH44" s="14"/>
      <c r="AI44" s="14"/>
      <c r="AJ44" s="14"/>
      <c r="AK44" s="14"/>
      <c r="AL44" s="15" t="str">
        <f aca="false">IF(AF44&lt;&gt;"",AF44,IF(AND(M44&lt;&gt;"",M44=S44),M44,""))</f>
        <v/>
      </c>
      <c r="AM44" s="15" t="str">
        <f aca="false">IF(AG44&lt;&gt;"",AG44,IF(AND(N44&lt;&gt;"",N44=T44),N44,""))</f>
        <v/>
      </c>
      <c r="AN44" s="15" t="str">
        <f aca="false">IF(AH44&lt;&gt;"",AH44,IF(AND(O44&lt;&gt;"",O44=U44),O44,""))</f>
        <v/>
      </c>
      <c r="AO44" s="15" t="str">
        <f aca="false">IF(AI44&lt;&gt;"",AI44,IF(AND(P44&lt;&gt;"",P44=V44),P44,""))</f>
        <v/>
      </c>
      <c r="AP44" s="15" t="str">
        <f aca="false">IF(AJ44&lt;&gt;"",AJ44,IF(AND(Q44&lt;&gt;"",Q44=W44),Q44,""))</f>
        <v/>
      </c>
      <c r="AQ44" s="15" t="str">
        <f aca="false">IF(AK44&lt;&gt;"",AK44,IF(AND(R44&lt;&gt;"",R44=X44),R44,""))</f>
        <v/>
      </c>
      <c r="AR44" s="16"/>
      <c r="AS44" s="9" t="str">
        <f aca="false">IF(COUNTA(M44:R44)+COUNTA(S44:X44)&lt;12,"Menunggu coder",IF(AE44=0,"Sepakat",IF(SUMPRODUCT((Y44:AD44="Beda")*(AF44:AK44=""))=0,"Selesai adjudikasi","Perlu adjudikasi")))</f>
        <v>Menunggu coder</v>
      </c>
      <c r="AT44" s="10" t="str">
        <f aca="false">IF(COUNTIF(AL44:AQ44,"?*")&lt;6,"",IF(IF(AND(AM44="R0",AQ44&lt;&gt;"K5"),"R0 harus K5; ","")&amp;IF(AND(AM44="R1",AQ44="K3"),"R1 tidak boleh K3 (fungsional); ","")&amp;IF(AND(AM44="R2",AQ44="K5"),"R2 tidak boleh K5; ","")&amp;IF(AND(AM44="R2",OR(AL44="S6",AL44="S7",AL44="S8")),"R2 tidak boleh S6/S7/S8; ","")&amp;IF(AND(AO44="P9",AN44&lt;&gt;"T17"),"P9 hanya dengan T17; ","")&amp;IF(AND(OR(AN44="T17",AO44="P9"),AM44&lt;&gt;"R0"),"T17/P9 harus R0; ","")&amp;IF(AND(AN44="T01",AO44&lt;&gt;"P6"),"T01 biasanya P6 (periksa); ","")&amp;IF(AND(AO44="P1",AQ44&lt;&gt;"K4"),"P1 biasanya K4 (periksa); ","")="","OK",IF(AND(AM44="R0",AQ44&lt;&gt;"K5"),"R0 harus K5; ","")&amp;IF(AND(AM44="R1",AQ44="K3"),"R1 tidak boleh K3 (fungsional); ","")&amp;IF(AND(AM44="R2",AQ44="K5"),"R2 tidak boleh K5; ","")&amp;IF(AND(AM44="R2",OR(AL44="S6",AL44="S7",AL44="S8")),"R2 tidak boleh S6/S7/S8; ","")&amp;IF(AND(AO44="P9",AN44&lt;&gt;"T17"),"P9 hanya dengan T17; ","")&amp;IF(AND(OR(AN44="T17",AO44="P9"),AM44&lt;&gt;"R0"),"T17/P9 harus R0; ","")&amp;IF(AND(AN44="T01",AO44&lt;&gt;"P6"),"T01 biasanya P6 (periksa); ","")&amp;IF(AND(AO44="P1",AQ44&lt;&gt;"K4"),"P1 biasanya K4 (periksa); ","")))</f>
        <v/>
      </c>
    </row>
    <row r="45" customFormat="false" ht="48" hidden="false" customHeight="true" outlineLevel="0" collapsed="false">
      <c r="A45" s="9" t="n">
        <v>42</v>
      </c>
      <c r="B45" s="10" t="str">
        <f aca="false">IF(INDEX(Korpus!$A:$A,$A45)="","",INDEX(Korpus!$A:$A,$A45))</f>
        <v/>
      </c>
      <c r="C45" s="10" t="str">
        <f aca="false">TRIM(INDEX(Korpus!$D:$D,$A45)&amp;" "&amp;INDEX(Korpus!$E:$E,$A45))</f>
        <v/>
      </c>
      <c r="D45" s="10" t="str">
        <f aca="false">IF(INDEX(Korpus!$B:$B,$A45)="","",INDEX(Korpus!$B:$B,$A45))</f>
        <v/>
      </c>
      <c r="E45" s="10" t="str">
        <f aca="false">IF(INDEX(Korpus!$C:$C,$A45)="","",INDEX(Korpus!$C:$C,$A45))</f>
        <v/>
      </c>
      <c r="F45" s="10" t="str">
        <f aca="false">IF(INDEX(Korpus!$F:$F,$A45)="","",INDEX(Korpus!$F:$F,$A45))</f>
        <v/>
      </c>
      <c r="G45" s="11"/>
      <c r="H45" s="11"/>
      <c r="I45" s="11"/>
      <c r="J45" s="11"/>
      <c r="K45" s="11"/>
      <c r="L45" s="11"/>
      <c r="M45" s="12"/>
      <c r="N45" s="12"/>
      <c r="O45" s="12"/>
      <c r="P45" s="12"/>
      <c r="Q45" s="12"/>
      <c r="R45" s="12"/>
      <c r="S45" s="13"/>
      <c r="T45" s="13"/>
      <c r="U45" s="13"/>
      <c r="V45" s="13"/>
      <c r="W45" s="13"/>
      <c r="X45" s="13"/>
      <c r="Y45" s="9" t="str">
        <f aca="false">IF(OR(M45="",S45=""),"",IF(M45=S45,"Sama","Beda"))</f>
        <v/>
      </c>
      <c r="Z45" s="9" t="str">
        <f aca="false">IF(OR(N45="",T45=""),"",IF(N45=T45,"Sama","Beda"))</f>
        <v/>
      </c>
      <c r="AA45" s="9" t="str">
        <f aca="false">IF(OR(O45="",U45=""),"",IF(O45=U45,"Sama","Beda"))</f>
        <v/>
      </c>
      <c r="AB45" s="9" t="str">
        <f aca="false">IF(OR(P45="",V45=""),"",IF(P45=V45,"Sama","Beda"))</f>
        <v/>
      </c>
      <c r="AC45" s="9" t="str">
        <f aca="false">IF(OR(Q45="",W45=""),"",IF(Q45=W45,"Sama","Beda"))</f>
        <v/>
      </c>
      <c r="AD45" s="9" t="str">
        <f aca="false">IF(OR(R45="",X45=""),"",IF(R45=X45,"Sama","Beda"))</f>
        <v/>
      </c>
      <c r="AE45" s="9" t="n">
        <f aca="false">COUNTIF(Y45:AD45,"Beda")</f>
        <v>0</v>
      </c>
      <c r="AF45" s="14"/>
      <c r="AG45" s="14"/>
      <c r="AH45" s="14"/>
      <c r="AI45" s="14"/>
      <c r="AJ45" s="14"/>
      <c r="AK45" s="14"/>
      <c r="AL45" s="15" t="str">
        <f aca="false">IF(AF45&lt;&gt;"",AF45,IF(AND(M45&lt;&gt;"",M45=S45),M45,""))</f>
        <v/>
      </c>
      <c r="AM45" s="15" t="str">
        <f aca="false">IF(AG45&lt;&gt;"",AG45,IF(AND(N45&lt;&gt;"",N45=T45),N45,""))</f>
        <v/>
      </c>
      <c r="AN45" s="15" t="str">
        <f aca="false">IF(AH45&lt;&gt;"",AH45,IF(AND(O45&lt;&gt;"",O45=U45),O45,""))</f>
        <v/>
      </c>
      <c r="AO45" s="15" t="str">
        <f aca="false">IF(AI45&lt;&gt;"",AI45,IF(AND(P45&lt;&gt;"",P45=V45),P45,""))</f>
        <v/>
      </c>
      <c r="AP45" s="15" t="str">
        <f aca="false">IF(AJ45&lt;&gt;"",AJ45,IF(AND(Q45&lt;&gt;"",Q45=W45),Q45,""))</f>
        <v/>
      </c>
      <c r="AQ45" s="15" t="str">
        <f aca="false">IF(AK45&lt;&gt;"",AK45,IF(AND(R45&lt;&gt;"",R45=X45),R45,""))</f>
        <v/>
      </c>
      <c r="AR45" s="16"/>
      <c r="AS45" s="9" t="str">
        <f aca="false">IF(COUNTA(M45:R45)+COUNTA(S45:X45)&lt;12,"Menunggu coder",IF(AE45=0,"Sepakat",IF(SUMPRODUCT((Y45:AD45="Beda")*(AF45:AK45=""))=0,"Selesai adjudikasi","Perlu adjudikasi")))</f>
        <v>Menunggu coder</v>
      </c>
      <c r="AT45" s="10" t="str">
        <f aca="false">IF(COUNTIF(AL45:AQ45,"?*")&lt;6,"",IF(IF(AND(AM45="R0",AQ45&lt;&gt;"K5"),"R0 harus K5; ","")&amp;IF(AND(AM45="R1",AQ45="K3"),"R1 tidak boleh K3 (fungsional); ","")&amp;IF(AND(AM45="R2",AQ45="K5"),"R2 tidak boleh K5; ","")&amp;IF(AND(AM45="R2",OR(AL45="S6",AL45="S7",AL45="S8")),"R2 tidak boleh S6/S7/S8; ","")&amp;IF(AND(AO45="P9",AN45&lt;&gt;"T17"),"P9 hanya dengan T17; ","")&amp;IF(AND(OR(AN45="T17",AO45="P9"),AM45&lt;&gt;"R0"),"T17/P9 harus R0; ","")&amp;IF(AND(AN45="T01",AO45&lt;&gt;"P6"),"T01 biasanya P6 (periksa); ","")&amp;IF(AND(AO45="P1",AQ45&lt;&gt;"K4"),"P1 biasanya K4 (periksa); ","")="","OK",IF(AND(AM45="R0",AQ45&lt;&gt;"K5"),"R0 harus K5; ","")&amp;IF(AND(AM45="R1",AQ45="K3"),"R1 tidak boleh K3 (fungsional); ","")&amp;IF(AND(AM45="R2",AQ45="K5"),"R2 tidak boleh K5; ","")&amp;IF(AND(AM45="R2",OR(AL45="S6",AL45="S7",AL45="S8")),"R2 tidak boleh S6/S7/S8; ","")&amp;IF(AND(AO45="P9",AN45&lt;&gt;"T17"),"P9 hanya dengan T17; ","")&amp;IF(AND(OR(AN45="T17",AO45="P9"),AM45&lt;&gt;"R0"),"T17/P9 harus R0; ","")&amp;IF(AND(AN45="T01",AO45&lt;&gt;"P6"),"T01 biasanya P6 (periksa); ","")&amp;IF(AND(AO45="P1",AQ45&lt;&gt;"K4"),"P1 biasanya K4 (periksa); ","")))</f>
        <v/>
      </c>
    </row>
    <row r="46" customFormat="false" ht="48" hidden="false" customHeight="true" outlineLevel="0" collapsed="false">
      <c r="A46" s="9" t="n">
        <v>43</v>
      </c>
      <c r="B46" s="10" t="str">
        <f aca="false">IF(INDEX(Korpus!$A:$A,$A46)="","",INDEX(Korpus!$A:$A,$A46))</f>
        <v/>
      </c>
      <c r="C46" s="10" t="str">
        <f aca="false">TRIM(INDEX(Korpus!$D:$D,$A46)&amp;" "&amp;INDEX(Korpus!$E:$E,$A46))</f>
        <v/>
      </c>
      <c r="D46" s="10" t="str">
        <f aca="false">IF(INDEX(Korpus!$B:$B,$A46)="","",INDEX(Korpus!$B:$B,$A46))</f>
        <v/>
      </c>
      <c r="E46" s="10" t="str">
        <f aca="false">IF(INDEX(Korpus!$C:$C,$A46)="","",INDEX(Korpus!$C:$C,$A46))</f>
        <v/>
      </c>
      <c r="F46" s="10" t="str">
        <f aca="false">IF(INDEX(Korpus!$F:$F,$A46)="","",INDEX(Korpus!$F:$F,$A46))</f>
        <v/>
      </c>
      <c r="G46" s="11"/>
      <c r="H46" s="11"/>
      <c r="I46" s="11"/>
      <c r="J46" s="11"/>
      <c r="K46" s="11"/>
      <c r="L46" s="11"/>
      <c r="M46" s="12"/>
      <c r="N46" s="12"/>
      <c r="O46" s="12"/>
      <c r="P46" s="12"/>
      <c r="Q46" s="12"/>
      <c r="R46" s="12"/>
      <c r="S46" s="13"/>
      <c r="T46" s="13"/>
      <c r="U46" s="13"/>
      <c r="V46" s="13"/>
      <c r="W46" s="13"/>
      <c r="X46" s="13"/>
      <c r="Y46" s="9" t="str">
        <f aca="false">IF(OR(M46="",S46=""),"",IF(M46=S46,"Sama","Beda"))</f>
        <v/>
      </c>
      <c r="Z46" s="9" t="str">
        <f aca="false">IF(OR(N46="",T46=""),"",IF(N46=T46,"Sama","Beda"))</f>
        <v/>
      </c>
      <c r="AA46" s="9" t="str">
        <f aca="false">IF(OR(O46="",U46=""),"",IF(O46=U46,"Sama","Beda"))</f>
        <v/>
      </c>
      <c r="AB46" s="9" t="str">
        <f aca="false">IF(OR(P46="",V46=""),"",IF(P46=V46,"Sama","Beda"))</f>
        <v/>
      </c>
      <c r="AC46" s="9" t="str">
        <f aca="false">IF(OR(Q46="",W46=""),"",IF(Q46=W46,"Sama","Beda"))</f>
        <v/>
      </c>
      <c r="AD46" s="9" t="str">
        <f aca="false">IF(OR(R46="",X46=""),"",IF(R46=X46,"Sama","Beda"))</f>
        <v/>
      </c>
      <c r="AE46" s="9" t="n">
        <f aca="false">COUNTIF(Y46:AD46,"Beda")</f>
        <v>0</v>
      </c>
      <c r="AF46" s="14"/>
      <c r="AG46" s="14"/>
      <c r="AH46" s="14"/>
      <c r="AI46" s="14"/>
      <c r="AJ46" s="14"/>
      <c r="AK46" s="14"/>
      <c r="AL46" s="15" t="str">
        <f aca="false">IF(AF46&lt;&gt;"",AF46,IF(AND(M46&lt;&gt;"",M46=S46),M46,""))</f>
        <v/>
      </c>
      <c r="AM46" s="15" t="str">
        <f aca="false">IF(AG46&lt;&gt;"",AG46,IF(AND(N46&lt;&gt;"",N46=T46),N46,""))</f>
        <v/>
      </c>
      <c r="AN46" s="15" t="str">
        <f aca="false">IF(AH46&lt;&gt;"",AH46,IF(AND(O46&lt;&gt;"",O46=U46),O46,""))</f>
        <v/>
      </c>
      <c r="AO46" s="15" t="str">
        <f aca="false">IF(AI46&lt;&gt;"",AI46,IF(AND(P46&lt;&gt;"",P46=V46),P46,""))</f>
        <v/>
      </c>
      <c r="AP46" s="15" t="str">
        <f aca="false">IF(AJ46&lt;&gt;"",AJ46,IF(AND(Q46&lt;&gt;"",Q46=W46),Q46,""))</f>
        <v/>
      </c>
      <c r="AQ46" s="15" t="str">
        <f aca="false">IF(AK46&lt;&gt;"",AK46,IF(AND(R46&lt;&gt;"",R46=X46),R46,""))</f>
        <v/>
      </c>
      <c r="AR46" s="16"/>
      <c r="AS46" s="9" t="str">
        <f aca="false">IF(COUNTA(M46:R46)+COUNTA(S46:X46)&lt;12,"Menunggu coder",IF(AE46=0,"Sepakat",IF(SUMPRODUCT((Y46:AD46="Beda")*(AF46:AK46=""))=0,"Selesai adjudikasi","Perlu adjudikasi")))</f>
        <v>Menunggu coder</v>
      </c>
      <c r="AT46" s="10" t="str">
        <f aca="false">IF(COUNTIF(AL46:AQ46,"?*")&lt;6,"",IF(IF(AND(AM46="R0",AQ46&lt;&gt;"K5"),"R0 harus K5; ","")&amp;IF(AND(AM46="R1",AQ46="K3"),"R1 tidak boleh K3 (fungsional); ","")&amp;IF(AND(AM46="R2",AQ46="K5"),"R2 tidak boleh K5; ","")&amp;IF(AND(AM46="R2",OR(AL46="S6",AL46="S7",AL46="S8")),"R2 tidak boleh S6/S7/S8; ","")&amp;IF(AND(AO46="P9",AN46&lt;&gt;"T17"),"P9 hanya dengan T17; ","")&amp;IF(AND(OR(AN46="T17",AO46="P9"),AM46&lt;&gt;"R0"),"T17/P9 harus R0; ","")&amp;IF(AND(AN46="T01",AO46&lt;&gt;"P6"),"T01 biasanya P6 (periksa); ","")&amp;IF(AND(AO46="P1",AQ46&lt;&gt;"K4"),"P1 biasanya K4 (periksa); ","")="","OK",IF(AND(AM46="R0",AQ46&lt;&gt;"K5"),"R0 harus K5; ","")&amp;IF(AND(AM46="R1",AQ46="K3"),"R1 tidak boleh K3 (fungsional); ","")&amp;IF(AND(AM46="R2",AQ46="K5"),"R2 tidak boleh K5; ","")&amp;IF(AND(AM46="R2",OR(AL46="S6",AL46="S7",AL46="S8")),"R2 tidak boleh S6/S7/S8; ","")&amp;IF(AND(AO46="P9",AN46&lt;&gt;"T17"),"P9 hanya dengan T17; ","")&amp;IF(AND(OR(AN46="T17",AO46="P9"),AM46&lt;&gt;"R0"),"T17/P9 harus R0; ","")&amp;IF(AND(AN46="T01",AO46&lt;&gt;"P6"),"T01 biasanya P6 (periksa); ","")&amp;IF(AND(AO46="P1",AQ46&lt;&gt;"K4"),"P1 biasanya K4 (periksa); ","")))</f>
        <v/>
      </c>
    </row>
    <row r="47" customFormat="false" ht="48" hidden="false" customHeight="true" outlineLevel="0" collapsed="false">
      <c r="A47" s="9" t="n">
        <v>44</v>
      </c>
      <c r="B47" s="10" t="str">
        <f aca="false">IF(INDEX(Korpus!$A:$A,$A47)="","",INDEX(Korpus!$A:$A,$A47))</f>
        <v/>
      </c>
      <c r="C47" s="10" t="str">
        <f aca="false">TRIM(INDEX(Korpus!$D:$D,$A47)&amp;" "&amp;INDEX(Korpus!$E:$E,$A47))</f>
        <v/>
      </c>
      <c r="D47" s="10" t="str">
        <f aca="false">IF(INDEX(Korpus!$B:$B,$A47)="","",INDEX(Korpus!$B:$B,$A47))</f>
        <v/>
      </c>
      <c r="E47" s="10" t="str">
        <f aca="false">IF(INDEX(Korpus!$C:$C,$A47)="","",INDEX(Korpus!$C:$C,$A47))</f>
        <v/>
      </c>
      <c r="F47" s="10" t="str">
        <f aca="false">IF(INDEX(Korpus!$F:$F,$A47)="","",INDEX(Korpus!$F:$F,$A47))</f>
        <v/>
      </c>
      <c r="G47" s="11"/>
      <c r="H47" s="11"/>
      <c r="I47" s="11"/>
      <c r="J47" s="11"/>
      <c r="K47" s="11"/>
      <c r="L47" s="11"/>
      <c r="M47" s="12"/>
      <c r="N47" s="12"/>
      <c r="O47" s="12"/>
      <c r="P47" s="12"/>
      <c r="Q47" s="12"/>
      <c r="R47" s="12"/>
      <c r="S47" s="13"/>
      <c r="T47" s="13"/>
      <c r="U47" s="13"/>
      <c r="V47" s="13"/>
      <c r="W47" s="13"/>
      <c r="X47" s="13"/>
      <c r="Y47" s="9" t="str">
        <f aca="false">IF(OR(M47="",S47=""),"",IF(M47=S47,"Sama","Beda"))</f>
        <v/>
      </c>
      <c r="Z47" s="9" t="str">
        <f aca="false">IF(OR(N47="",T47=""),"",IF(N47=T47,"Sama","Beda"))</f>
        <v/>
      </c>
      <c r="AA47" s="9" t="str">
        <f aca="false">IF(OR(O47="",U47=""),"",IF(O47=U47,"Sama","Beda"))</f>
        <v/>
      </c>
      <c r="AB47" s="9" t="str">
        <f aca="false">IF(OR(P47="",V47=""),"",IF(P47=V47,"Sama","Beda"))</f>
        <v/>
      </c>
      <c r="AC47" s="9" t="str">
        <f aca="false">IF(OR(Q47="",W47=""),"",IF(Q47=W47,"Sama","Beda"))</f>
        <v/>
      </c>
      <c r="AD47" s="9" t="str">
        <f aca="false">IF(OR(R47="",X47=""),"",IF(R47=X47,"Sama","Beda"))</f>
        <v/>
      </c>
      <c r="AE47" s="9" t="n">
        <f aca="false">COUNTIF(Y47:AD47,"Beda")</f>
        <v>0</v>
      </c>
      <c r="AF47" s="14"/>
      <c r="AG47" s="14"/>
      <c r="AH47" s="14"/>
      <c r="AI47" s="14"/>
      <c r="AJ47" s="14"/>
      <c r="AK47" s="14"/>
      <c r="AL47" s="15" t="str">
        <f aca="false">IF(AF47&lt;&gt;"",AF47,IF(AND(M47&lt;&gt;"",M47=S47),M47,""))</f>
        <v/>
      </c>
      <c r="AM47" s="15" t="str">
        <f aca="false">IF(AG47&lt;&gt;"",AG47,IF(AND(N47&lt;&gt;"",N47=T47),N47,""))</f>
        <v/>
      </c>
      <c r="AN47" s="15" t="str">
        <f aca="false">IF(AH47&lt;&gt;"",AH47,IF(AND(O47&lt;&gt;"",O47=U47),O47,""))</f>
        <v/>
      </c>
      <c r="AO47" s="15" t="str">
        <f aca="false">IF(AI47&lt;&gt;"",AI47,IF(AND(P47&lt;&gt;"",P47=V47),P47,""))</f>
        <v/>
      </c>
      <c r="AP47" s="15" t="str">
        <f aca="false">IF(AJ47&lt;&gt;"",AJ47,IF(AND(Q47&lt;&gt;"",Q47=W47),Q47,""))</f>
        <v/>
      </c>
      <c r="AQ47" s="15" t="str">
        <f aca="false">IF(AK47&lt;&gt;"",AK47,IF(AND(R47&lt;&gt;"",R47=X47),R47,""))</f>
        <v/>
      </c>
      <c r="AR47" s="16"/>
      <c r="AS47" s="9" t="str">
        <f aca="false">IF(COUNTA(M47:R47)+COUNTA(S47:X47)&lt;12,"Menunggu coder",IF(AE47=0,"Sepakat",IF(SUMPRODUCT((Y47:AD47="Beda")*(AF47:AK47=""))=0,"Selesai adjudikasi","Perlu adjudikasi")))</f>
        <v>Menunggu coder</v>
      </c>
      <c r="AT47" s="10" t="str">
        <f aca="false">IF(COUNTIF(AL47:AQ47,"?*")&lt;6,"",IF(IF(AND(AM47="R0",AQ47&lt;&gt;"K5"),"R0 harus K5; ","")&amp;IF(AND(AM47="R1",AQ47="K3"),"R1 tidak boleh K3 (fungsional); ","")&amp;IF(AND(AM47="R2",AQ47="K5"),"R2 tidak boleh K5; ","")&amp;IF(AND(AM47="R2",OR(AL47="S6",AL47="S7",AL47="S8")),"R2 tidak boleh S6/S7/S8; ","")&amp;IF(AND(AO47="P9",AN47&lt;&gt;"T17"),"P9 hanya dengan T17; ","")&amp;IF(AND(OR(AN47="T17",AO47="P9"),AM47&lt;&gt;"R0"),"T17/P9 harus R0; ","")&amp;IF(AND(AN47="T01",AO47&lt;&gt;"P6"),"T01 biasanya P6 (periksa); ","")&amp;IF(AND(AO47="P1",AQ47&lt;&gt;"K4"),"P1 biasanya K4 (periksa); ","")="","OK",IF(AND(AM47="R0",AQ47&lt;&gt;"K5"),"R0 harus K5; ","")&amp;IF(AND(AM47="R1",AQ47="K3"),"R1 tidak boleh K3 (fungsional); ","")&amp;IF(AND(AM47="R2",AQ47="K5"),"R2 tidak boleh K5; ","")&amp;IF(AND(AM47="R2",OR(AL47="S6",AL47="S7",AL47="S8")),"R2 tidak boleh S6/S7/S8; ","")&amp;IF(AND(AO47="P9",AN47&lt;&gt;"T17"),"P9 hanya dengan T17; ","")&amp;IF(AND(OR(AN47="T17",AO47="P9"),AM47&lt;&gt;"R0"),"T17/P9 harus R0; ","")&amp;IF(AND(AN47="T01",AO47&lt;&gt;"P6"),"T01 biasanya P6 (periksa); ","")&amp;IF(AND(AO47="P1",AQ47&lt;&gt;"K4"),"P1 biasanya K4 (periksa); ","")))</f>
        <v/>
      </c>
    </row>
    <row r="48" customFormat="false" ht="48" hidden="false" customHeight="true" outlineLevel="0" collapsed="false">
      <c r="A48" s="9" t="n">
        <v>45</v>
      </c>
      <c r="B48" s="10" t="str">
        <f aca="false">IF(INDEX(Korpus!$A:$A,$A48)="","",INDEX(Korpus!$A:$A,$A48))</f>
        <v/>
      </c>
      <c r="C48" s="10" t="str">
        <f aca="false">TRIM(INDEX(Korpus!$D:$D,$A48)&amp;" "&amp;INDEX(Korpus!$E:$E,$A48))</f>
        <v/>
      </c>
      <c r="D48" s="10" t="str">
        <f aca="false">IF(INDEX(Korpus!$B:$B,$A48)="","",INDEX(Korpus!$B:$B,$A48))</f>
        <v/>
      </c>
      <c r="E48" s="10" t="str">
        <f aca="false">IF(INDEX(Korpus!$C:$C,$A48)="","",INDEX(Korpus!$C:$C,$A48))</f>
        <v/>
      </c>
      <c r="F48" s="10" t="str">
        <f aca="false">IF(INDEX(Korpus!$F:$F,$A48)="","",INDEX(Korpus!$F:$F,$A48))</f>
        <v/>
      </c>
      <c r="G48" s="11"/>
      <c r="H48" s="11"/>
      <c r="I48" s="11"/>
      <c r="J48" s="11"/>
      <c r="K48" s="11"/>
      <c r="L48" s="11"/>
      <c r="M48" s="12"/>
      <c r="N48" s="12"/>
      <c r="O48" s="12"/>
      <c r="P48" s="12"/>
      <c r="Q48" s="12"/>
      <c r="R48" s="12"/>
      <c r="S48" s="13"/>
      <c r="T48" s="13"/>
      <c r="U48" s="13"/>
      <c r="V48" s="13"/>
      <c r="W48" s="13"/>
      <c r="X48" s="13"/>
      <c r="Y48" s="9" t="str">
        <f aca="false">IF(OR(M48="",S48=""),"",IF(M48=S48,"Sama","Beda"))</f>
        <v/>
      </c>
      <c r="Z48" s="9" t="str">
        <f aca="false">IF(OR(N48="",T48=""),"",IF(N48=T48,"Sama","Beda"))</f>
        <v/>
      </c>
      <c r="AA48" s="9" t="str">
        <f aca="false">IF(OR(O48="",U48=""),"",IF(O48=U48,"Sama","Beda"))</f>
        <v/>
      </c>
      <c r="AB48" s="9" t="str">
        <f aca="false">IF(OR(P48="",V48=""),"",IF(P48=V48,"Sama","Beda"))</f>
        <v/>
      </c>
      <c r="AC48" s="9" t="str">
        <f aca="false">IF(OR(Q48="",W48=""),"",IF(Q48=W48,"Sama","Beda"))</f>
        <v/>
      </c>
      <c r="AD48" s="9" t="str">
        <f aca="false">IF(OR(R48="",X48=""),"",IF(R48=X48,"Sama","Beda"))</f>
        <v/>
      </c>
      <c r="AE48" s="9" t="n">
        <f aca="false">COUNTIF(Y48:AD48,"Beda")</f>
        <v>0</v>
      </c>
      <c r="AF48" s="14"/>
      <c r="AG48" s="14"/>
      <c r="AH48" s="14"/>
      <c r="AI48" s="14"/>
      <c r="AJ48" s="14"/>
      <c r="AK48" s="14"/>
      <c r="AL48" s="15" t="str">
        <f aca="false">IF(AF48&lt;&gt;"",AF48,IF(AND(M48&lt;&gt;"",M48=S48),M48,""))</f>
        <v/>
      </c>
      <c r="AM48" s="15" t="str">
        <f aca="false">IF(AG48&lt;&gt;"",AG48,IF(AND(N48&lt;&gt;"",N48=T48),N48,""))</f>
        <v/>
      </c>
      <c r="AN48" s="15" t="str">
        <f aca="false">IF(AH48&lt;&gt;"",AH48,IF(AND(O48&lt;&gt;"",O48=U48),O48,""))</f>
        <v/>
      </c>
      <c r="AO48" s="15" t="str">
        <f aca="false">IF(AI48&lt;&gt;"",AI48,IF(AND(P48&lt;&gt;"",P48=V48),P48,""))</f>
        <v/>
      </c>
      <c r="AP48" s="15" t="str">
        <f aca="false">IF(AJ48&lt;&gt;"",AJ48,IF(AND(Q48&lt;&gt;"",Q48=W48),Q48,""))</f>
        <v/>
      </c>
      <c r="AQ48" s="15" t="str">
        <f aca="false">IF(AK48&lt;&gt;"",AK48,IF(AND(R48&lt;&gt;"",R48=X48),R48,""))</f>
        <v/>
      </c>
      <c r="AR48" s="16"/>
      <c r="AS48" s="9" t="str">
        <f aca="false">IF(COUNTA(M48:R48)+COUNTA(S48:X48)&lt;12,"Menunggu coder",IF(AE48=0,"Sepakat",IF(SUMPRODUCT((Y48:AD48="Beda")*(AF48:AK48=""))=0,"Selesai adjudikasi","Perlu adjudikasi")))</f>
        <v>Menunggu coder</v>
      </c>
      <c r="AT48" s="10" t="str">
        <f aca="false">IF(COUNTIF(AL48:AQ48,"?*")&lt;6,"",IF(IF(AND(AM48="R0",AQ48&lt;&gt;"K5"),"R0 harus K5; ","")&amp;IF(AND(AM48="R1",AQ48="K3"),"R1 tidak boleh K3 (fungsional); ","")&amp;IF(AND(AM48="R2",AQ48="K5"),"R2 tidak boleh K5; ","")&amp;IF(AND(AM48="R2",OR(AL48="S6",AL48="S7",AL48="S8")),"R2 tidak boleh S6/S7/S8; ","")&amp;IF(AND(AO48="P9",AN48&lt;&gt;"T17"),"P9 hanya dengan T17; ","")&amp;IF(AND(OR(AN48="T17",AO48="P9"),AM48&lt;&gt;"R0"),"T17/P9 harus R0; ","")&amp;IF(AND(AN48="T01",AO48&lt;&gt;"P6"),"T01 biasanya P6 (periksa); ","")&amp;IF(AND(AO48="P1",AQ48&lt;&gt;"K4"),"P1 biasanya K4 (periksa); ","")="","OK",IF(AND(AM48="R0",AQ48&lt;&gt;"K5"),"R0 harus K5; ","")&amp;IF(AND(AM48="R1",AQ48="K3"),"R1 tidak boleh K3 (fungsional); ","")&amp;IF(AND(AM48="R2",AQ48="K5"),"R2 tidak boleh K5; ","")&amp;IF(AND(AM48="R2",OR(AL48="S6",AL48="S7",AL48="S8")),"R2 tidak boleh S6/S7/S8; ","")&amp;IF(AND(AO48="P9",AN48&lt;&gt;"T17"),"P9 hanya dengan T17; ","")&amp;IF(AND(OR(AN48="T17",AO48="P9"),AM48&lt;&gt;"R0"),"T17/P9 harus R0; ","")&amp;IF(AND(AN48="T01",AO48&lt;&gt;"P6"),"T01 biasanya P6 (periksa); ","")&amp;IF(AND(AO48="P1",AQ48&lt;&gt;"K4"),"P1 biasanya K4 (periksa); ","")))</f>
        <v/>
      </c>
    </row>
    <row r="49" customFormat="false" ht="48" hidden="false" customHeight="true" outlineLevel="0" collapsed="false">
      <c r="A49" s="9" t="n">
        <v>46</v>
      </c>
      <c r="B49" s="10" t="str">
        <f aca="false">IF(INDEX(Korpus!$A:$A,$A49)="","",INDEX(Korpus!$A:$A,$A49))</f>
        <v/>
      </c>
      <c r="C49" s="10" t="str">
        <f aca="false">TRIM(INDEX(Korpus!$D:$D,$A49)&amp;" "&amp;INDEX(Korpus!$E:$E,$A49))</f>
        <v/>
      </c>
      <c r="D49" s="10" t="str">
        <f aca="false">IF(INDEX(Korpus!$B:$B,$A49)="","",INDEX(Korpus!$B:$B,$A49))</f>
        <v/>
      </c>
      <c r="E49" s="10" t="str">
        <f aca="false">IF(INDEX(Korpus!$C:$C,$A49)="","",INDEX(Korpus!$C:$C,$A49))</f>
        <v/>
      </c>
      <c r="F49" s="10" t="str">
        <f aca="false">IF(INDEX(Korpus!$F:$F,$A49)="","",INDEX(Korpus!$F:$F,$A49))</f>
        <v/>
      </c>
      <c r="G49" s="11"/>
      <c r="H49" s="11"/>
      <c r="I49" s="11"/>
      <c r="J49" s="11"/>
      <c r="K49" s="11"/>
      <c r="L49" s="11"/>
      <c r="M49" s="12"/>
      <c r="N49" s="12"/>
      <c r="O49" s="12"/>
      <c r="P49" s="12"/>
      <c r="Q49" s="12"/>
      <c r="R49" s="12"/>
      <c r="S49" s="13"/>
      <c r="T49" s="13"/>
      <c r="U49" s="13"/>
      <c r="V49" s="13"/>
      <c r="W49" s="13"/>
      <c r="X49" s="13"/>
      <c r="Y49" s="9" t="str">
        <f aca="false">IF(OR(M49="",S49=""),"",IF(M49=S49,"Sama","Beda"))</f>
        <v/>
      </c>
      <c r="Z49" s="9" t="str">
        <f aca="false">IF(OR(N49="",T49=""),"",IF(N49=T49,"Sama","Beda"))</f>
        <v/>
      </c>
      <c r="AA49" s="9" t="str">
        <f aca="false">IF(OR(O49="",U49=""),"",IF(O49=U49,"Sama","Beda"))</f>
        <v/>
      </c>
      <c r="AB49" s="9" t="str">
        <f aca="false">IF(OR(P49="",V49=""),"",IF(P49=V49,"Sama","Beda"))</f>
        <v/>
      </c>
      <c r="AC49" s="9" t="str">
        <f aca="false">IF(OR(Q49="",W49=""),"",IF(Q49=W49,"Sama","Beda"))</f>
        <v/>
      </c>
      <c r="AD49" s="9" t="str">
        <f aca="false">IF(OR(R49="",X49=""),"",IF(R49=X49,"Sama","Beda"))</f>
        <v/>
      </c>
      <c r="AE49" s="9" t="n">
        <f aca="false">COUNTIF(Y49:AD49,"Beda")</f>
        <v>0</v>
      </c>
      <c r="AF49" s="14"/>
      <c r="AG49" s="14"/>
      <c r="AH49" s="14"/>
      <c r="AI49" s="14"/>
      <c r="AJ49" s="14"/>
      <c r="AK49" s="14"/>
      <c r="AL49" s="15" t="str">
        <f aca="false">IF(AF49&lt;&gt;"",AF49,IF(AND(M49&lt;&gt;"",M49=S49),M49,""))</f>
        <v/>
      </c>
      <c r="AM49" s="15" t="str">
        <f aca="false">IF(AG49&lt;&gt;"",AG49,IF(AND(N49&lt;&gt;"",N49=T49),N49,""))</f>
        <v/>
      </c>
      <c r="AN49" s="15" t="str">
        <f aca="false">IF(AH49&lt;&gt;"",AH49,IF(AND(O49&lt;&gt;"",O49=U49),O49,""))</f>
        <v/>
      </c>
      <c r="AO49" s="15" t="str">
        <f aca="false">IF(AI49&lt;&gt;"",AI49,IF(AND(P49&lt;&gt;"",P49=V49),P49,""))</f>
        <v/>
      </c>
      <c r="AP49" s="15" t="str">
        <f aca="false">IF(AJ49&lt;&gt;"",AJ49,IF(AND(Q49&lt;&gt;"",Q49=W49),Q49,""))</f>
        <v/>
      </c>
      <c r="AQ49" s="15" t="str">
        <f aca="false">IF(AK49&lt;&gt;"",AK49,IF(AND(R49&lt;&gt;"",R49=X49),R49,""))</f>
        <v/>
      </c>
      <c r="AR49" s="16"/>
      <c r="AS49" s="9" t="str">
        <f aca="false">IF(COUNTA(M49:R49)+COUNTA(S49:X49)&lt;12,"Menunggu coder",IF(AE49=0,"Sepakat",IF(SUMPRODUCT((Y49:AD49="Beda")*(AF49:AK49=""))=0,"Selesai adjudikasi","Perlu adjudikasi")))</f>
        <v>Menunggu coder</v>
      </c>
      <c r="AT49" s="10" t="str">
        <f aca="false">IF(COUNTIF(AL49:AQ49,"?*")&lt;6,"",IF(IF(AND(AM49="R0",AQ49&lt;&gt;"K5"),"R0 harus K5; ","")&amp;IF(AND(AM49="R1",AQ49="K3"),"R1 tidak boleh K3 (fungsional); ","")&amp;IF(AND(AM49="R2",AQ49="K5"),"R2 tidak boleh K5; ","")&amp;IF(AND(AM49="R2",OR(AL49="S6",AL49="S7",AL49="S8")),"R2 tidak boleh S6/S7/S8; ","")&amp;IF(AND(AO49="P9",AN49&lt;&gt;"T17"),"P9 hanya dengan T17; ","")&amp;IF(AND(OR(AN49="T17",AO49="P9"),AM49&lt;&gt;"R0"),"T17/P9 harus R0; ","")&amp;IF(AND(AN49="T01",AO49&lt;&gt;"P6"),"T01 biasanya P6 (periksa); ","")&amp;IF(AND(AO49="P1",AQ49&lt;&gt;"K4"),"P1 biasanya K4 (periksa); ","")="","OK",IF(AND(AM49="R0",AQ49&lt;&gt;"K5"),"R0 harus K5; ","")&amp;IF(AND(AM49="R1",AQ49="K3"),"R1 tidak boleh K3 (fungsional); ","")&amp;IF(AND(AM49="R2",AQ49="K5"),"R2 tidak boleh K5; ","")&amp;IF(AND(AM49="R2",OR(AL49="S6",AL49="S7",AL49="S8")),"R2 tidak boleh S6/S7/S8; ","")&amp;IF(AND(AO49="P9",AN49&lt;&gt;"T17"),"P9 hanya dengan T17; ","")&amp;IF(AND(OR(AN49="T17",AO49="P9"),AM49&lt;&gt;"R0"),"T17/P9 harus R0; ","")&amp;IF(AND(AN49="T01",AO49&lt;&gt;"P6"),"T01 biasanya P6 (periksa); ","")&amp;IF(AND(AO49="P1",AQ49&lt;&gt;"K4"),"P1 biasanya K4 (periksa); ","")))</f>
        <v/>
      </c>
    </row>
    <row r="50" customFormat="false" ht="48" hidden="false" customHeight="true" outlineLevel="0" collapsed="false">
      <c r="A50" s="9" t="n">
        <v>47</v>
      </c>
      <c r="B50" s="10" t="str">
        <f aca="false">IF(INDEX(Korpus!$A:$A,$A50)="","",INDEX(Korpus!$A:$A,$A50))</f>
        <v/>
      </c>
      <c r="C50" s="10" t="str">
        <f aca="false">TRIM(INDEX(Korpus!$D:$D,$A50)&amp;" "&amp;INDEX(Korpus!$E:$E,$A50))</f>
        <v/>
      </c>
      <c r="D50" s="10" t="str">
        <f aca="false">IF(INDEX(Korpus!$B:$B,$A50)="","",INDEX(Korpus!$B:$B,$A50))</f>
        <v/>
      </c>
      <c r="E50" s="10" t="str">
        <f aca="false">IF(INDEX(Korpus!$C:$C,$A50)="","",INDEX(Korpus!$C:$C,$A50))</f>
        <v/>
      </c>
      <c r="F50" s="10" t="str">
        <f aca="false">IF(INDEX(Korpus!$F:$F,$A50)="","",INDEX(Korpus!$F:$F,$A50))</f>
        <v/>
      </c>
      <c r="G50" s="11"/>
      <c r="H50" s="11"/>
      <c r="I50" s="11"/>
      <c r="J50" s="11"/>
      <c r="K50" s="11"/>
      <c r="L50" s="11"/>
      <c r="M50" s="12"/>
      <c r="N50" s="12"/>
      <c r="O50" s="12"/>
      <c r="P50" s="12"/>
      <c r="Q50" s="12"/>
      <c r="R50" s="12"/>
      <c r="S50" s="13"/>
      <c r="T50" s="13"/>
      <c r="U50" s="13"/>
      <c r="V50" s="13"/>
      <c r="W50" s="13"/>
      <c r="X50" s="13"/>
      <c r="Y50" s="9" t="str">
        <f aca="false">IF(OR(M50="",S50=""),"",IF(M50=S50,"Sama","Beda"))</f>
        <v/>
      </c>
      <c r="Z50" s="9" t="str">
        <f aca="false">IF(OR(N50="",T50=""),"",IF(N50=T50,"Sama","Beda"))</f>
        <v/>
      </c>
      <c r="AA50" s="9" t="str">
        <f aca="false">IF(OR(O50="",U50=""),"",IF(O50=U50,"Sama","Beda"))</f>
        <v/>
      </c>
      <c r="AB50" s="9" t="str">
        <f aca="false">IF(OR(P50="",V50=""),"",IF(P50=V50,"Sama","Beda"))</f>
        <v/>
      </c>
      <c r="AC50" s="9" t="str">
        <f aca="false">IF(OR(Q50="",W50=""),"",IF(Q50=W50,"Sama","Beda"))</f>
        <v/>
      </c>
      <c r="AD50" s="9" t="str">
        <f aca="false">IF(OR(R50="",X50=""),"",IF(R50=X50,"Sama","Beda"))</f>
        <v/>
      </c>
      <c r="AE50" s="9" t="n">
        <f aca="false">COUNTIF(Y50:AD50,"Beda")</f>
        <v>0</v>
      </c>
      <c r="AF50" s="14"/>
      <c r="AG50" s="14"/>
      <c r="AH50" s="14"/>
      <c r="AI50" s="14"/>
      <c r="AJ50" s="14"/>
      <c r="AK50" s="14"/>
      <c r="AL50" s="15" t="str">
        <f aca="false">IF(AF50&lt;&gt;"",AF50,IF(AND(M50&lt;&gt;"",M50=S50),M50,""))</f>
        <v/>
      </c>
      <c r="AM50" s="15" t="str">
        <f aca="false">IF(AG50&lt;&gt;"",AG50,IF(AND(N50&lt;&gt;"",N50=T50),N50,""))</f>
        <v/>
      </c>
      <c r="AN50" s="15" t="str">
        <f aca="false">IF(AH50&lt;&gt;"",AH50,IF(AND(O50&lt;&gt;"",O50=U50),O50,""))</f>
        <v/>
      </c>
      <c r="AO50" s="15" t="str">
        <f aca="false">IF(AI50&lt;&gt;"",AI50,IF(AND(P50&lt;&gt;"",P50=V50),P50,""))</f>
        <v/>
      </c>
      <c r="AP50" s="15" t="str">
        <f aca="false">IF(AJ50&lt;&gt;"",AJ50,IF(AND(Q50&lt;&gt;"",Q50=W50),Q50,""))</f>
        <v/>
      </c>
      <c r="AQ50" s="15" t="str">
        <f aca="false">IF(AK50&lt;&gt;"",AK50,IF(AND(R50&lt;&gt;"",R50=X50),R50,""))</f>
        <v/>
      </c>
      <c r="AR50" s="16"/>
      <c r="AS50" s="9" t="str">
        <f aca="false">IF(COUNTA(M50:R50)+COUNTA(S50:X50)&lt;12,"Menunggu coder",IF(AE50=0,"Sepakat",IF(SUMPRODUCT((Y50:AD50="Beda")*(AF50:AK50=""))=0,"Selesai adjudikasi","Perlu adjudikasi")))</f>
        <v>Menunggu coder</v>
      </c>
      <c r="AT50" s="10" t="str">
        <f aca="false">IF(COUNTIF(AL50:AQ50,"?*")&lt;6,"",IF(IF(AND(AM50="R0",AQ50&lt;&gt;"K5"),"R0 harus K5; ","")&amp;IF(AND(AM50="R1",AQ50="K3"),"R1 tidak boleh K3 (fungsional); ","")&amp;IF(AND(AM50="R2",AQ50="K5"),"R2 tidak boleh K5; ","")&amp;IF(AND(AM50="R2",OR(AL50="S6",AL50="S7",AL50="S8")),"R2 tidak boleh S6/S7/S8; ","")&amp;IF(AND(AO50="P9",AN50&lt;&gt;"T17"),"P9 hanya dengan T17; ","")&amp;IF(AND(OR(AN50="T17",AO50="P9"),AM50&lt;&gt;"R0"),"T17/P9 harus R0; ","")&amp;IF(AND(AN50="T01",AO50&lt;&gt;"P6"),"T01 biasanya P6 (periksa); ","")&amp;IF(AND(AO50="P1",AQ50&lt;&gt;"K4"),"P1 biasanya K4 (periksa); ","")="","OK",IF(AND(AM50="R0",AQ50&lt;&gt;"K5"),"R0 harus K5; ","")&amp;IF(AND(AM50="R1",AQ50="K3"),"R1 tidak boleh K3 (fungsional); ","")&amp;IF(AND(AM50="R2",AQ50="K5"),"R2 tidak boleh K5; ","")&amp;IF(AND(AM50="R2",OR(AL50="S6",AL50="S7",AL50="S8")),"R2 tidak boleh S6/S7/S8; ","")&amp;IF(AND(AO50="P9",AN50&lt;&gt;"T17"),"P9 hanya dengan T17; ","")&amp;IF(AND(OR(AN50="T17",AO50="P9"),AM50&lt;&gt;"R0"),"T17/P9 harus R0; ","")&amp;IF(AND(AN50="T01",AO50&lt;&gt;"P6"),"T01 biasanya P6 (periksa); ","")&amp;IF(AND(AO50="P1",AQ50&lt;&gt;"K4"),"P1 biasanya K4 (periksa); ","")))</f>
        <v/>
      </c>
    </row>
    <row r="51" customFormat="false" ht="48" hidden="false" customHeight="true" outlineLevel="0" collapsed="false">
      <c r="A51" s="9" t="n">
        <v>48</v>
      </c>
      <c r="B51" s="10" t="str">
        <f aca="false">IF(INDEX(Korpus!$A:$A,$A51)="","",INDEX(Korpus!$A:$A,$A51))</f>
        <v/>
      </c>
      <c r="C51" s="10" t="str">
        <f aca="false">TRIM(INDEX(Korpus!$D:$D,$A51)&amp;" "&amp;INDEX(Korpus!$E:$E,$A51))</f>
        <v/>
      </c>
      <c r="D51" s="10" t="str">
        <f aca="false">IF(INDEX(Korpus!$B:$B,$A51)="","",INDEX(Korpus!$B:$B,$A51))</f>
        <v/>
      </c>
      <c r="E51" s="10" t="str">
        <f aca="false">IF(INDEX(Korpus!$C:$C,$A51)="","",INDEX(Korpus!$C:$C,$A51))</f>
        <v/>
      </c>
      <c r="F51" s="10" t="str">
        <f aca="false">IF(INDEX(Korpus!$F:$F,$A51)="","",INDEX(Korpus!$F:$F,$A51))</f>
        <v/>
      </c>
      <c r="G51" s="11"/>
      <c r="H51" s="11"/>
      <c r="I51" s="11"/>
      <c r="J51" s="11"/>
      <c r="K51" s="11"/>
      <c r="L51" s="11"/>
      <c r="M51" s="12"/>
      <c r="N51" s="12"/>
      <c r="O51" s="12"/>
      <c r="P51" s="12"/>
      <c r="Q51" s="12"/>
      <c r="R51" s="12"/>
      <c r="S51" s="13"/>
      <c r="T51" s="13"/>
      <c r="U51" s="13"/>
      <c r="V51" s="13"/>
      <c r="W51" s="13"/>
      <c r="X51" s="13"/>
      <c r="Y51" s="9" t="str">
        <f aca="false">IF(OR(M51="",S51=""),"",IF(M51=S51,"Sama","Beda"))</f>
        <v/>
      </c>
      <c r="Z51" s="9" t="str">
        <f aca="false">IF(OR(N51="",T51=""),"",IF(N51=T51,"Sama","Beda"))</f>
        <v/>
      </c>
      <c r="AA51" s="9" t="str">
        <f aca="false">IF(OR(O51="",U51=""),"",IF(O51=U51,"Sama","Beda"))</f>
        <v/>
      </c>
      <c r="AB51" s="9" t="str">
        <f aca="false">IF(OR(P51="",V51=""),"",IF(P51=V51,"Sama","Beda"))</f>
        <v/>
      </c>
      <c r="AC51" s="9" t="str">
        <f aca="false">IF(OR(Q51="",W51=""),"",IF(Q51=W51,"Sama","Beda"))</f>
        <v/>
      </c>
      <c r="AD51" s="9" t="str">
        <f aca="false">IF(OR(R51="",X51=""),"",IF(R51=X51,"Sama","Beda"))</f>
        <v/>
      </c>
      <c r="AE51" s="9" t="n">
        <f aca="false">COUNTIF(Y51:AD51,"Beda")</f>
        <v>0</v>
      </c>
      <c r="AF51" s="14"/>
      <c r="AG51" s="14"/>
      <c r="AH51" s="14"/>
      <c r="AI51" s="14"/>
      <c r="AJ51" s="14"/>
      <c r="AK51" s="14"/>
      <c r="AL51" s="15" t="str">
        <f aca="false">IF(AF51&lt;&gt;"",AF51,IF(AND(M51&lt;&gt;"",M51=S51),M51,""))</f>
        <v/>
      </c>
      <c r="AM51" s="15" t="str">
        <f aca="false">IF(AG51&lt;&gt;"",AG51,IF(AND(N51&lt;&gt;"",N51=T51),N51,""))</f>
        <v/>
      </c>
      <c r="AN51" s="15" t="str">
        <f aca="false">IF(AH51&lt;&gt;"",AH51,IF(AND(O51&lt;&gt;"",O51=U51),O51,""))</f>
        <v/>
      </c>
      <c r="AO51" s="15" t="str">
        <f aca="false">IF(AI51&lt;&gt;"",AI51,IF(AND(P51&lt;&gt;"",P51=V51),P51,""))</f>
        <v/>
      </c>
      <c r="AP51" s="15" t="str">
        <f aca="false">IF(AJ51&lt;&gt;"",AJ51,IF(AND(Q51&lt;&gt;"",Q51=W51),Q51,""))</f>
        <v/>
      </c>
      <c r="AQ51" s="15" t="str">
        <f aca="false">IF(AK51&lt;&gt;"",AK51,IF(AND(R51&lt;&gt;"",R51=X51),R51,""))</f>
        <v/>
      </c>
      <c r="AR51" s="16"/>
      <c r="AS51" s="9" t="str">
        <f aca="false">IF(COUNTA(M51:R51)+COUNTA(S51:X51)&lt;12,"Menunggu coder",IF(AE51=0,"Sepakat",IF(SUMPRODUCT((Y51:AD51="Beda")*(AF51:AK51=""))=0,"Selesai adjudikasi","Perlu adjudikasi")))</f>
        <v>Menunggu coder</v>
      </c>
      <c r="AT51" s="10" t="str">
        <f aca="false">IF(COUNTIF(AL51:AQ51,"?*")&lt;6,"",IF(IF(AND(AM51="R0",AQ51&lt;&gt;"K5"),"R0 harus K5; ","")&amp;IF(AND(AM51="R1",AQ51="K3"),"R1 tidak boleh K3 (fungsional); ","")&amp;IF(AND(AM51="R2",AQ51="K5"),"R2 tidak boleh K5; ","")&amp;IF(AND(AM51="R2",OR(AL51="S6",AL51="S7",AL51="S8")),"R2 tidak boleh S6/S7/S8; ","")&amp;IF(AND(AO51="P9",AN51&lt;&gt;"T17"),"P9 hanya dengan T17; ","")&amp;IF(AND(OR(AN51="T17",AO51="P9"),AM51&lt;&gt;"R0"),"T17/P9 harus R0; ","")&amp;IF(AND(AN51="T01",AO51&lt;&gt;"P6"),"T01 biasanya P6 (periksa); ","")&amp;IF(AND(AO51="P1",AQ51&lt;&gt;"K4"),"P1 biasanya K4 (periksa); ","")="","OK",IF(AND(AM51="R0",AQ51&lt;&gt;"K5"),"R0 harus K5; ","")&amp;IF(AND(AM51="R1",AQ51="K3"),"R1 tidak boleh K3 (fungsional); ","")&amp;IF(AND(AM51="R2",AQ51="K5"),"R2 tidak boleh K5; ","")&amp;IF(AND(AM51="R2",OR(AL51="S6",AL51="S7",AL51="S8")),"R2 tidak boleh S6/S7/S8; ","")&amp;IF(AND(AO51="P9",AN51&lt;&gt;"T17"),"P9 hanya dengan T17; ","")&amp;IF(AND(OR(AN51="T17",AO51="P9"),AM51&lt;&gt;"R0"),"T17/P9 harus R0; ","")&amp;IF(AND(AN51="T01",AO51&lt;&gt;"P6"),"T01 biasanya P6 (periksa); ","")&amp;IF(AND(AO51="P1",AQ51&lt;&gt;"K4"),"P1 biasanya K4 (periksa); ","")))</f>
        <v/>
      </c>
    </row>
    <row r="52" customFormat="false" ht="48" hidden="false" customHeight="true" outlineLevel="0" collapsed="false">
      <c r="A52" s="9" t="n">
        <v>49</v>
      </c>
      <c r="B52" s="10" t="str">
        <f aca="false">IF(INDEX(Korpus!$A:$A,$A52)="","",INDEX(Korpus!$A:$A,$A52))</f>
        <v/>
      </c>
      <c r="C52" s="10" t="str">
        <f aca="false">TRIM(INDEX(Korpus!$D:$D,$A52)&amp;" "&amp;INDEX(Korpus!$E:$E,$A52))</f>
        <v/>
      </c>
      <c r="D52" s="10" t="str">
        <f aca="false">IF(INDEX(Korpus!$B:$B,$A52)="","",INDEX(Korpus!$B:$B,$A52))</f>
        <v/>
      </c>
      <c r="E52" s="10" t="str">
        <f aca="false">IF(INDEX(Korpus!$C:$C,$A52)="","",INDEX(Korpus!$C:$C,$A52))</f>
        <v/>
      </c>
      <c r="F52" s="10" t="str">
        <f aca="false">IF(INDEX(Korpus!$F:$F,$A52)="","",INDEX(Korpus!$F:$F,$A52))</f>
        <v/>
      </c>
      <c r="G52" s="11" t="s">
        <v>82</v>
      </c>
      <c r="H52" s="11" t="s">
        <v>101</v>
      </c>
      <c r="I52" s="11" t="s">
        <v>106</v>
      </c>
      <c r="J52" s="11" t="s">
        <v>93</v>
      </c>
      <c r="K52" s="11" t="s">
        <v>107</v>
      </c>
      <c r="L52" s="11" t="s">
        <v>105</v>
      </c>
      <c r="M52" s="12"/>
      <c r="N52" s="12"/>
      <c r="O52" s="12"/>
      <c r="P52" s="12"/>
      <c r="Q52" s="12"/>
      <c r="R52" s="12"/>
      <c r="S52" s="13"/>
      <c r="T52" s="13"/>
      <c r="U52" s="13"/>
      <c r="V52" s="13"/>
      <c r="W52" s="13"/>
      <c r="X52" s="13"/>
      <c r="Y52" s="9" t="str">
        <f aca="false">IF(OR(M52="",S52=""),"",IF(M52=S52,"Sama","Beda"))</f>
        <v/>
      </c>
      <c r="Z52" s="9" t="str">
        <f aca="false">IF(OR(N52="",T52=""),"",IF(N52=T52,"Sama","Beda"))</f>
        <v/>
      </c>
      <c r="AA52" s="9" t="str">
        <f aca="false">IF(OR(O52="",U52=""),"",IF(O52=U52,"Sama","Beda"))</f>
        <v/>
      </c>
      <c r="AB52" s="9" t="str">
        <f aca="false">IF(OR(P52="",V52=""),"",IF(P52=V52,"Sama","Beda"))</f>
        <v/>
      </c>
      <c r="AC52" s="9" t="str">
        <f aca="false">IF(OR(Q52="",W52=""),"",IF(Q52=W52,"Sama","Beda"))</f>
        <v/>
      </c>
      <c r="AD52" s="9" t="str">
        <f aca="false">IF(OR(R52="",X52=""),"",IF(R52=X52,"Sama","Beda"))</f>
        <v/>
      </c>
      <c r="AE52" s="9" t="n">
        <f aca="false">COUNTIF(Y52:AD52,"Beda")</f>
        <v>0</v>
      </c>
      <c r="AF52" s="14"/>
      <c r="AG52" s="14"/>
      <c r="AH52" s="14"/>
      <c r="AI52" s="14"/>
      <c r="AJ52" s="14"/>
      <c r="AK52" s="14"/>
      <c r="AL52" s="15" t="str">
        <f aca="false">IF(AF52&lt;&gt;"",AF52,IF(AND(M52&lt;&gt;"",M52=S52),M52,""))</f>
        <v/>
      </c>
      <c r="AM52" s="15" t="str">
        <f aca="false">IF(AG52&lt;&gt;"",AG52,IF(AND(N52&lt;&gt;"",N52=T52),N52,""))</f>
        <v/>
      </c>
      <c r="AN52" s="15" t="str">
        <f aca="false">IF(AH52&lt;&gt;"",AH52,IF(AND(O52&lt;&gt;"",O52=U52),O52,""))</f>
        <v/>
      </c>
      <c r="AO52" s="15" t="str">
        <f aca="false">IF(AI52&lt;&gt;"",AI52,IF(AND(P52&lt;&gt;"",P52=V52),P52,""))</f>
        <v/>
      </c>
      <c r="AP52" s="15" t="str">
        <f aca="false">IF(AJ52&lt;&gt;"",AJ52,IF(AND(Q52&lt;&gt;"",Q52=W52),Q52,""))</f>
        <v/>
      </c>
      <c r="AQ52" s="15" t="str">
        <f aca="false">IF(AK52&lt;&gt;"",AK52,IF(AND(R52&lt;&gt;"",R52=X52),R52,""))</f>
        <v/>
      </c>
      <c r="AR52" s="16"/>
      <c r="AS52" s="9" t="str">
        <f aca="false">IF(COUNTA(M52:R52)+COUNTA(S52:X52)&lt;12,"Menunggu coder",IF(AE52=0,"Sepakat",IF(SUMPRODUCT((Y52:AD52="Beda")*(AF52:AK52=""))=0,"Selesai adjudikasi","Perlu adjudikasi")))</f>
        <v>Menunggu coder</v>
      </c>
      <c r="AT52" s="10" t="str">
        <f aca="false">IF(COUNTIF(AL52:AQ52,"?*")&lt;6,"",IF(IF(AND(AM52="R0",AQ52&lt;&gt;"K5"),"R0 harus K5; ","")&amp;IF(AND(AM52="R1",AQ52="K3"),"R1 tidak boleh K3 (fungsional); ","")&amp;IF(AND(AM52="R2",AQ52="K5"),"R2 tidak boleh K5; ","")&amp;IF(AND(AM52="R2",OR(AL52="S6",AL52="S7",AL52="S8")),"R2 tidak boleh S6/S7/S8; ","")&amp;IF(AND(AO52="P9",AN52&lt;&gt;"T17"),"P9 hanya dengan T17; ","")&amp;IF(AND(OR(AN52="T17",AO52="P9"),AM52&lt;&gt;"R0"),"T17/P9 harus R0; ","")&amp;IF(AND(AN52="T01",AO52&lt;&gt;"P6"),"T01 biasanya P6 (periksa); ","")&amp;IF(AND(AO52="P1",AQ52&lt;&gt;"K4"),"P1 biasanya K4 (periksa); ","")="","OK",IF(AND(AM52="R0",AQ52&lt;&gt;"K5"),"R0 harus K5; ","")&amp;IF(AND(AM52="R1",AQ52="K3"),"R1 tidak boleh K3 (fungsional); ","")&amp;IF(AND(AM52="R2",AQ52="K5"),"R2 tidak boleh K5; ","")&amp;IF(AND(AM52="R2",OR(AL52="S6",AL52="S7",AL52="S8")),"R2 tidak boleh S6/S7/S8; ","")&amp;IF(AND(AO52="P9",AN52&lt;&gt;"T17"),"P9 hanya dengan T17; ","")&amp;IF(AND(OR(AN52="T17",AO52="P9"),AM52&lt;&gt;"R0"),"T17/P9 harus R0; ","")&amp;IF(AND(AN52="T01",AO52&lt;&gt;"P6"),"T01 biasanya P6 (periksa); ","")&amp;IF(AND(AO52="P1",AQ52&lt;&gt;"K4"),"P1 biasanya K4 (periksa); ","")))</f>
        <v/>
      </c>
    </row>
    <row r="53" customFormat="false" ht="48" hidden="false" customHeight="true" outlineLevel="0" collapsed="false">
      <c r="A53" s="9" t="n">
        <v>50</v>
      </c>
      <c r="B53" s="10" t="str">
        <f aca="false">IF(INDEX(Korpus!$A:$A,$A53)="","",INDEX(Korpus!$A:$A,$A53))</f>
        <v/>
      </c>
      <c r="C53" s="10" t="str">
        <f aca="false">TRIM(INDEX(Korpus!$D:$D,$A53)&amp;" "&amp;INDEX(Korpus!$E:$E,$A53))</f>
        <v/>
      </c>
      <c r="D53" s="10" t="str">
        <f aca="false">IF(INDEX(Korpus!$B:$B,$A53)="","",INDEX(Korpus!$B:$B,$A53))</f>
        <v/>
      </c>
      <c r="E53" s="10" t="str">
        <f aca="false">IF(INDEX(Korpus!$C:$C,$A53)="","",INDEX(Korpus!$C:$C,$A53))</f>
        <v/>
      </c>
      <c r="F53" s="10" t="str">
        <f aca="false">IF(INDEX(Korpus!$F:$F,$A53)="","",INDEX(Korpus!$F:$F,$A53))</f>
        <v/>
      </c>
      <c r="G53" s="11"/>
      <c r="H53" s="11"/>
      <c r="I53" s="11"/>
      <c r="J53" s="11"/>
      <c r="K53" s="11"/>
      <c r="L53" s="11"/>
      <c r="M53" s="12"/>
      <c r="N53" s="12"/>
      <c r="O53" s="12"/>
      <c r="P53" s="12"/>
      <c r="Q53" s="12"/>
      <c r="R53" s="12"/>
      <c r="S53" s="13"/>
      <c r="T53" s="13"/>
      <c r="U53" s="13"/>
      <c r="V53" s="13"/>
      <c r="W53" s="13"/>
      <c r="X53" s="13"/>
      <c r="Y53" s="9" t="str">
        <f aca="false">IF(OR(M53="",S53=""),"",IF(M53=S53,"Sama","Beda"))</f>
        <v/>
      </c>
      <c r="Z53" s="9" t="str">
        <f aca="false">IF(OR(N53="",T53=""),"",IF(N53=T53,"Sama","Beda"))</f>
        <v/>
      </c>
      <c r="AA53" s="9" t="str">
        <f aca="false">IF(OR(O53="",U53=""),"",IF(O53=U53,"Sama","Beda"))</f>
        <v/>
      </c>
      <c r="AB53" s="9" t="str">
        <f aca="false">IF(OR(P53="",V53=""),"",IF(P53=V53,"Sama","Beda"))</f>
        <v/>
      </c>
      <c r="AC53" s="9" t="str">
        <f aca="false">IF(OR(Q53="",W53=""),"",IF(Q53=W53,"Sama","Beda"))</f>
        <v/>
      </c>
      <c r="AD53" s="9" t="str">
        <f aca="false">IF(OR(R53="",X53=""),"",IF(R53=X53,"Sama","Beda"))</f>
        <v/>
      </c>
      <c r="AE53" s="9" t="n">
        <f aca="false">COUNTIF(Y53:AD53,"Beda")</f>
        <v>0</v>
      </c>
      <c r="AF53" s="14"/>
      <c r="AG53" s="14"/>
      <c r="AH53" s="14"/>
      <c r="AI53" s="14"/>
      <c r="AJ53" s="14"/>
      <c r="AK53" s="14"/>
      <c r="AL53" s="15" t="str">
        <f aca="false">IF(AF53&lt;&gt;"",AF53,IF(AND(M53&lt;&gt;"",M53=S53),M53,""))</f>
        <v/>
      </c>
      <c r="AM53" s="15" t="str">
        <f aca="false">IF(AG53&lt;&gt;"",AG53,IF(AND(N53&lt;&gt;"",N53=T53),N53,""))</f>
        <v/>
      </c>
      <c r="AN53" s="15" t="str">
        <f aca="false">IF(AH53&lt;&gt;"",AH53,IF(AND(O53&lt;&gt;"",O53=U53),O53,""))</f>
        <v/>
      </c>
      <c r="AO53" s="15" t="str">
        <f aca="false">IF(AI53&lt;&gt;"",AI53,IF(AND(P53&lt;&gt;"",P53=V53),P53,""))</f>
        <v/>
      </c>
      <c r="AP53" s="15" t="str">
        <f aca="false">IF(AJ53&lt;&gt;"",AJ53,IF(AND(Q53&lt;&gt;"",Q53=W53),Q53,""))</f>
        <v/>
      </c>
      <c r="AQ53" s="15" t="str">
        <f aca="false">IF(AK53&lt;&gt;"",AK53,IF(AND(R53&lt;&gt;"",R53=X53),R53,""))</f>
        <v/>
      </c>
      <c r="AR53" s="16"/>
      <c r="AS53" s="9" t="str">
        <f aca="false">IF(COUNTA(M53:R53)+COUNTA(S53:X53)&lt;12,"Menunggu coder",IF(AE53=0,"Sepakat",IF(SUMPRODUCT((Y53:AD53="Beda")*(AF53:AK53=""))=0,"Selesai adjudikasi","Perlu adjudikasi")))</f>
        <v>Menunggu coder</v>
      </c>
      <c r="AT53" s="10" t="str">
        <f aca="false">IF(COUNTIF(AL53:AQ53,"?*")&lt;6,"",IF(IF(AND(AM53="R0",AQ53&lt;&gt;"K5"),"R0 harus K5; ","")&amp;IF(AND(AM53="R1",AQ53="K3"),"R1 tidak boleh K3 (fungsional); ","")&amp;IF(AND(AM53="R2",AQ53="K5"),"R2 tidak boleh K5; ","")&amp;IF(AND(AM53="R2",OR(AL53="S6",AL53="S7",AL53="S8")),"R2 tidak boleh S6/S7/S8; ","")&amp;IF(AND(AO53="P9",AN53&lt;&gt;"T17"),"P9 hanya dengan T17; ","")&amp;IF(AND(OR(AN53="T17",AO53="P9"),AM53&lt;&gt;"R0"),"T17/P9 harus R0; ","")&amp;IF(AND(AN53="T01",AO53&lt;&gt;"P6"),"T01 biasanya P6 (periksa); ","")&amp;IF(AND(AO53="P1",AQ53&lt;&gt;"K4"),"P1 biasanya K4 (periksa); ","")="","OK",IF(AND(AM53="R0",AQ53&lt;&gt;"K5"),"R0 harus K5; ","")&amp;IF(AND(AM53="R1",AQ53="K3"),"R1 tidak boleh K3 (fungsional); ","")&amp;IF(AND(AM53="R2",AQ53="K5"),"R2 tidak boleh K5; ","")&amp;IF(AND(AM53="R2",OR(AL53="S6",AL53="S7",AL53="S8")),"R2 tidak boleh S6/S7/S8; ","")&amp;IF(AND(AO53="P9",AN53&lt;&gt;"T17"),"P9 hanya dengan T17; ","")&amp;IF(AND(OR(AN53="T17",AO53="P9"),AM53&lt;&gt;"R0"),"T17/P9 harus R0; ","")&amp;IF(AND(AN53="T01",AO53&lt;&gt;"P6"),"T01 biasanya P6 (periksa); ","")&amp;IF(AND(AO53="P1",AQ53&lt;&gt;"K4"),"P1 biasanya K4 (periksa); ","")))</f>
        <v/>
      </c>
    </row>
    <row r="54" customFormat="false" ht="48" hidden="false" customHeight="true" outlineLevel="0" collapsed="false">
      <c r="A54" s="9" t="n">
        <v>51</v>
      </c>
      <c r="B54" s="10" t="str">
        <f aca="false">IF(INDEX(Korpus!$A:$A,$A54)="","",INDEX(Korpus!$A:$A,$A54))</f>
        <v/>
      </c>
      <c r="C54" s="10" t="str">
        <f aca="false">TRIM(INDEX(Korpus!$D:$D,$A54)&amp;" "&amp;INDEX(Korpus!$E:$E,$A54))</f>
        <v/>
      </c>
      <c r="D54" s="10" t="str">
        <f aca="false">IF(INDEX(Korpus!$B:$B,$A54)="","",INDEX(Korpus!$B:$B,$A54))</f>
        <v/>
      </c>
      <c r="E54" s="10" t="str">
        <f aca="false">IF(INDEX(Korpus!$C:$C,$A54)="","",INDEX(Korpus!$C:$C,$A54))</f>
        <v/>
      </c>
      <c r="F54" s="10" t="str">
        <f aca="false">IF(INDEX(Korpus!$F:$F,$A54)="","",INDEX(Korpus!$F:$F,$A54))</f>
        <v/>
      </c>
      <c r="G54" s="11"/>
      <c r="H54" s="11"/>
      <c r="I54" s="11"/>
      <c r="J54" s="11"/>
      <c r="K54" s="11"/>
      <c r="L54" s="11"/>
      <c r="M54" s="12"/>
      <c r="N54" s="12"/>
      <c r="O54" s="12"/>
      <c r="P54" s="12"/>
      <c r="Q54" s="12"/>
      <c r="R54" s="12"/>
      <c r="S54" s="13"/>
      <c r="T54" s="13"/>
      <c r="U54" s="13"/>
      <c r="V54" s="13"/>
      <c r="W54" s="13"/>
      <c r="X54" s="13"/>
      <c r="Y54" s="9" t="str">
        <f aca="false">IF(OR(M54="",S54=""),"",IF(M54=S54,"Sama","Beda"))</f>
        <v/>
      </c>
      <c r="Z54" s="9" t="str">
        <f aca="false">IF(OR(N54="",T54=""),"",IF(N54=T54,"Sama","Beda"))</f>
        <v/>
      </c>
      <c r="AA54" s="9" t="str">
        <f aca="false">IF(OR(O54="",U54=""),"",IF(O54=U54,"Sama","Beda"))</f>
        <v/>
      </c>
      <c r="AB54" s="9" t="str">
        <f aca="false">IF(OR(P54="",V54=""),"",IF(P54=V54,"Sama","Beda"))</f>
        <v/>
      </c>
      <c r="AC54" s="9" t="str">
        <f aca="false">IF(OR(Q54="",W54=""),"",IF(Q54=W54,"Sama","Beda"))</f>
        <v/>
      </c>
      <c r="AD54" s="9" t="str">
        <f aca="false">IF(OR(R54="",X54=""),"",IF(R54=X54,"Sama","Beda"))</f>
        <v/>
      </c>
      <c r="AE54" s="9" t="n">
        <f aca="false">COUNTIF(Y54:AD54,"Beda")</f>
        <v>0</v>
      </c>
      <c r="AF54" s="14"/>
      <c r="AG54" s="14"/>
      <c r="AH54" s="14"/>
      <c r="AI54" s="14"/>
      <c r="AJ54" s="14"/>
      <c r="AK54" s="14"/>
      <c r="AL54" s="15" t="str">
        <f aca="false">IF(AF54&lt;&gt;"",AF54,IF(AND(M54&lt;&gt;"",M54=S54),M54,""))</f>
        <v/>
      </c>
      <c r="AM54" s="15" t="str">
        <f aca="false">IF(AG54&lt;&gt;"",AG54,IF(AND(N54&lt;&gt;"",N54=T54),N54,""))</f>
        <v/>
      </c>
      <c r="AN54" s="15" t="str">
        <f aca="false">IF(AH54&lt;&gt;"",AH54,IF(AND(O54&lt;&gt;"",O54=U54),O54,""))</f>
        <v/>
      </c>
      <c r="AO54" s="15" t="str">
        <f aca="false">IF(AI54&lt;&gt;"",AI54,IF(AND(P54&lt;&gt;"",P54=V54),P54,""))</f>
        <v/>
      </c>
      <c r="AP54" s="15" t="str">
        <f aca="false">IF(AJ54&lt;&gt;"",AJ54,IF(AND(Q54&lt;&gt;"",Q54=W54),Q54,""))</f>
        <v/>
      </c>
      <c r="AQ54" s="15" t="str">
        <f aca="false">IF(AK54&lt;&gt;"",AK54,IF(AND(R54&lt;&gt;"",R54=X54),R54,""))</f>
        <v/>
      </c>
      <c r="AR54" s="16"/>
      <c r="AS54" s="9" t="str">
        <f aca="false">IF(COUNTA(M54:R54)+COUNTA(S54:X54)&lt;12,"Menunggu coder",IF(AE54=0,"Sepakat",IF(SUMPRODUCT((Y54:AD54="Beda")*(AF54:AK54=""))=0,"Selesai adjudikasi","Perlu adjudikasi")))</f>
        <v>Menunggu coder</v>
      </c>
      <c r="AT54" s="10" t="str">
        <f aca="false">IF(COUNTIF(AL54:AQ54,"?*")&lt;6,"",IF(IF(AND(AM54="R0",AQ54&lt;&gt;"K5"),"R0 harus K5; ","")&amp;IF(AND(AM54="R1",AQ54="K3"),"R1 tidak boleh K3 (fungsional); ","")&amp;IF(AND(AM54="R2",AQ54="K5"),"R2 tidak boleh K5; ","")&amp;IF(AND(AM54="R2",OR(AL54="S6",AL54="S7",AL54="S8")),"R2 tidak boleh S6/S7/S8; ","")&amp;IF(AND(AO54="P9",AN54&lt;&gt;"T17"),"P9 hanya dengan T17; ","")&amp;IF(AND(OR(AN54="T17",AO54="P9"),AM54&lt;&gt;"R0"),"T17/P9 harus R0; ","")&amp;IF(AND(AN54="T01",AO54&lt;&gt;"P6"),"T01 biasanya P6 (periksa); ","")&amp;IF(AND(AO54="P1",AQ54&lt;&gt;"K4"),"P1 biasanya K4 (periksa); ","")="","OK",IF(AND(AM54="R0",AQ54&lt;&gt;"K5"),"R0 harus K5; ","")&amp;IF(AND(AM54="R1",AQ54="K3"),"R1 tidak boleh K3 (fungsional); ","")&amp;IF(AND(AM54="R2",AQ54="K5"),"R2 tidak boleh K5; ","")&amp;IF(AND(AM54="R2",OR(AL54="S6",AL54="S7",AL54="S8")),"R2 tidak boleh S6/S7/S8; ","")&amp;IF(AND(AO54="P9",AN54&lt;&gt;"T17"),"P9 hanya dengan T17; ","")&amp;IF(AND(OR(AN54="T17",AO54="P9"),AM54&lt;&gt;"R0"),"T17/P9 harus R0; ","")&amp;IF(AND(AN54="T01",AO54&lt;&gt;"P6"),"T01 biasanya P6 (periksa); ","")&amp;IF(AND(AO54="P1",AQ54&lt;&gt;"K4"),"P1 biasanya K4 (periksa); ","")))</f>
        <v/>
      </c>
    </row>
    <row r="55" customFormat="false" ht="48" hidden="false" customHeight="true" outlineLevel="0" collapsed="false">
      <c r="A55" s="9" t="n">
        <v>52</v>
      </c>
      <c r="B55" s="10" t="str">
        <f aca="false">IF(INDEX(Korpus!$A:$A,$A55)="","",INDEX(Korpus!$A:$A,$A55))</f>
        <v/>
      </c>
      <c r="C55" s="10" t="str">
        <f aca="false">TRIM(INDEX(Korpus!$D:$D,$A55)&amp;" "&amp;INDEX(Korpus!$E:$E,$A55))</f>
        <v/>
      </c>
      <c r="D55" s="10" t="str">
        <f aca="false">IF(INDEX(Korpus!$B:$B,$A55)="","",INDEX(Korpus!$B:$B,$A55))</f>
        <v/>
      </c>
      <c r="E55" s="10" t="str">
        <f aca="false">IF(INDEX(Korpus!$C:$C,$A55)="","",INDEX(Korpus!$C:$C,$A55))</f>
        <v/>
      </c>
      <c r="F55" s="10" t="str">
        <f aca="false">IF(INDEX(Korpus!$F:$F,$A55)="","",INDEX(Korpus!$F:$F,$A55))</f>
        <v/>
      </c>
      <c r="G55" s="11"/>
      <c r="H55" s="11"/>
      <c r="I55" s="11"/>
      <c r="J55" s="11"/>
      <c r="K55" s="11"/>
      <c r="L55" s="11"/>
      <c r="M55" s="12"/>
      <c r="N55" s="12"/>
      <c r="O55" s="12"/>
      <c r="P55" s="12"/>
      <c r="Q55" s="12"/>
      <c r="R55" s="12"/>
      <c r="S55" s="13"/>
      <c r="T55" s="13"/>
      <c r="U55" s="13"/>
      <c r="V55" s="13"/>
      <c r="W55" s="13"/>
      <c r="X55" s="13"/>
      <c r="Y55" s="9" t="str">
        <f aca="false">IF(OR(M55="",S55=""),"",IF(M55=S55,"Sama","Beda"))</f>
        <v/>
      </c>
      <c r="Z55" s="9" t="str">
        <f aca="false">IF(OR(N55="",T55=""),"",IF(N55=T55,"Sama","Beda"))</f>
        <v/>
      </c>
      <c r="AA55" s="9" t="str">
        <f aca="false">IF(OR(O55="",U55=""),"",IF(O55=U55,"Sama","Beda"))</f>
        <v/>
      </c>
      <c r="AB55" s="9" t="str">
        <f aca="false">IF(OR(P55="",V55=""),"",IF(P55=V55,"Sama","Beda"))</f>
        <v/>
      </c>
      <c r="AC55" s="9" t="str">
        <f aca="false">IF(OR(Q55="",W55=""),"",IF(Q55=W55,"Sama","Beda"))</f>
        <v/>
      </c>
      <c r="AD55" s="9" t="str">
        <f aca="false">IF(OR(R55="",X55=""),"",IF(R55=X55,"Sama","Beda"))</f>
        <v/>
      </c>
      <c r="AE55" s="9" t="n">
        <f aca="false">COUNTIF(Y55:AD55,"Beda")</f>
        <v>0</v>
      </c>
      <c r="AF55" s="14"/>
      <c r="AG55" s="14"/>
      <c r="AH55" s="14"/>
      <c r="AI55" s="14"/>
      <c r="AJ55" s="14"/>
      <c r="AK55" s="14"/>
      <c r="AL55" s="15" t="str">
        <f aca="false">IF(AF55&lt;&gt;"",AF55,IF(AND(M55&lt;&gt;"",M55=S55),M55,""))</f>
        <v/>
      </c>
      <c r="AM55" s="15" t="str">
        <f aca="false">IF(AG55&lt;&gt;"",AG55,IF(AND(N55&lt;&gt;"",N55=T55),N55,""))</f>
        <v/>
      </c>
      <c r="AN55" s="15" t="str">
        <f aca="false">IF(AH55&lt;&gt;"",AH55,IF(AND(O55&lt;&gt;"",O55=U55),O55,""))</f>
        <v/>
      </c>
      <c r="AO55" s="15" t="str">
        <f aca="false">IF(AI55&lt;&gt;"",AI55,IF(AND(P55&lt;&gt;"",P55=V55),P55,""))</f>
        <v/>
      </c>
      <c r="AP55" s="15" t="str">
        <f aca="false">IF(AJ55&lt;&gt;"",AJ55,IF(AND(Q55&lt;&gt;"",Q55=W55),Q55,""))</f>
        <v/>
      </c>
      <c r="AQ55" s="15" t="str">
        <f aca="false">IF(AK55&lt;&gt;"",AK55,IF(AND(R55&lt;&gt;"",R55=X55),R55,""))</f>
        <v/>
      </c>
      <c r="AR55" s="16"/>
      <c r="AS55" s="9" t="str">
        <f aca="false">IF(COUNTA(M55:R55)+COUNTA(S55:X55)&lt;12,"Menunggu coder",IF(AE55=0,"Sepakat",IF(SUMPRODUCT((Y55:AD55="Beda")*(AF55:AK55=""))=0,"Selesai adjudikasi","Perlu adjudikasi")))</f>
        <v>Menunggu coder</v>
      </c>
      <c r="AT55" s="10" t="str">
        <f aca="false">IF(COUNTIF(AL55:AQ55,"?*")&lt;6,"",IF(IF(AND(AM55="R0",AQ55&lt;&gt;"K5"),"R0 harus K5; ","")&amp;IF(AND(AM55="R1",AQ55="K3"),"R1 tidak boleh K3 (fungsional); ","")&amp;IF(AND(AM55="R2",AQ55="K5"),"R2 tidak boleh K5; ","")&amp;IF(AND(AM55="R2",OR(AL55="S6",AL55="S7",AL55="S8")),"R2 tidak boleh S6/S7/S8; ","")&amp;IF(AND(AO55="P9",AN55&lt;&gt;"T17"),"P9 hanya dengan T17; ","")&amp;IF(AND(OR(AN55="T17",AO55="P9"),AM55&lt;&gt;"R0"),"T17/P9 harus R0; ","")&amp;IF(AND(AN55="T01",AO55&lt;&gt;"P6"),"T01 biasanya P6 (periksa); ","")&amp;IF(AND(AO55="P1",AQ55&lt;&gt;"K4"),"P1 biasanya K4 (periksa); ","")="","OK",IF(AND(AM55="R0",AQ55&lt;&gt;"K5"),"R0 harus K5; ","")&amp;IF(AND(AM55="R1",AQ55="K3"),"R1 tidak boleh K3 (fungsional); ","")&amp;IF(AND(AM55="R2",AQ55="K5"),"R2 tidak boleh K5; ","")&amp;IF(AND(AM55="R2",OR(AL55="S6",AL55="S7",AL55="S8")),"R2 tidak boleh S6/S7/S8; ","")&amp;IF(AND(AO55="P9",AN55&lt;&gt;"T17"),"P9 hanya dengan T17; ","")&amp;IF(AND(OR(AN55="T17",AO55="P9"),AM55&lt;&gt;"R0"),"T17/P9 harus R0; ","")&amp;IF(AND(AN55="T01",AO55&lt;&gt;"P6"),"T01 biasanya P6 (periksa); ","")&amp;IF(AND(AO55="P1",AQ55&lt;&gt;"K4"),"P1 biasanya K4 (periksa); ","")))</f>
        <v/>
      </c>
    </row>
    <row r="56" customFormat="false" ht="48" hidden="false" customHeight="true" outlineLevel="0" collapsed="false">
      <c r="A56" s="9" t="n">
        <v>53</v>
      </c>
      <c r="B56" s="10" t="str">
        <f aca="false">IF(INDEX(Korpus!$A:$A,$A56)="","",INDEX(Korpus!$A:$A,$A56))</f>
        <v/>
      </c>
      <c r="C56" s="10" t="str">
        <f aca="false">TRIM(INDEX(Korpus!$D:$D,$A56)&amp;" "&amp;INDEX(Korpus!$E:$E,$A56))</f>
        <v/>
      </c>
      <c r="D56" s="10" t="str">
        <f aca="false">IF(INDEX(Korpus!$B:$B,$A56)="","",INDEX(Korpus!$B:$B,$A56))</f>
        <v/>
      </c>
      <c r="E56" s="10" t="str">
        <f aca="false">IF(INDEX(Korpus!$C:$C,$A56)="","",INDEX(Korpus!$C:$C,$A56))</f>
        <v/>
      </c>
      <c r="F56" s="10" t="str">
        <f aca="false">IF(INDEX(Korpus!$F:$F,$A56)="","",INDEX(Korpus!$F:$F,$A56))</f>
        <v/>
      </c>
      <c r="G56" s="11"/>
      <c r="H56" s="11"/>
      <c r="I56" s="11"/>
      <c r="J56" s="11"/>
      <c r="K56" s="11"/>
      <c r="L56" s="11"/>
      <c r="M56" s="12"/>
      <c r="N56" s="12"/>
      <c r="O56" s="12"/>
      <c r="P56" s="12"/>
      <c r="Q56" s="12"/>
      <c r="R56" s="12"/>
      <c r="S56" s="13"/>
      <c r="T56" s="13"/>
      <c r="U56" s="13"/>
      <c r="V56" s="13"/>
      <c r="W56" s="13"/>
      <c r="X56" s="13"/>
      <c r="Y56" s="9" t="str">
        <f aca="false">IF(OR(M56="",S56=""),"",IF(M56=S56,"Sama","Beda"))</f>
        <v/>
      </c>
      <c r="Z56" s="9" t="str">
        <f aca="false">IF(OR(N56="",T56=""),"",IF(N56=T56,"Sama","Beda"))</f>
        <v/>
      </c>
      <c r="AA56" s="9" t="str">
        <f aca="false">IF(OR(O56="",U56=""),"",IF(O56=U56,"Sama","Beda"))</f>
        <v/>
      </c>
      <c r="AB56" s="9" t="str">
        <f aca="false">IF(OR(P56="",V56=""),"",IF(P56=V56,"Sama","Beda"))</f>
        <v/>
      </c>
      <c r="AC56" s="9" t="str">
        <f aca="false">IF(OR(Q56="",W56=""),"",IF(Q56=W56,"Sama","Beda"))</f>
        <v/>
      </c>
      <c r="AD56" s="9" t="str">
        <f aca="false">IF(OR(R56="",X56=""),"",IF(R56=X56,"Sama","Beda"))</f>
        <v/>
      </c>
      <c r="AE56" s="9" t="n">
        <f aca="false">COUNTIF(Y56:AD56,"Beda")</f>
        <v>0</v>
      </c>
      <c r="AF56" s="14"/>
      <c r="AG56" s="14"/>
      <c r="AH56" s="14"/>
      <c r="AI56" s="14"/>
      <c r="AJ56" s="14"/>
      <c r="AK56" s="14"/>
      <c r="AL56" s="15" t="str">
        <f aca="false">IF(AF56&lt;&gt;"",AF56,IF(AND(M56&lt;&gt;"",M56=S56),M56,""))</f>
        <v/>
      </c>
      <c r="AM56" s="15" t="str">
        <f aca="false">IF(AG56&lt;&gt;"",AG56,IF(AND(N56&lt;&gt;"",N56=T56),N56,""))</f>
        <v/>
      </c>
      <c r="AN56" s="15" t="str">
        <f aca="false">IF(AH56&lt;&gt;"",AH56,IF(AND(O56&lt;&gt;"",O56=U56),O56,""))</f>
        <v/>
      </c>
      <c r="AO56" s="15" t="str">
        <f aca="false">IF(AI56&lt;&gt;"",AI56,IF(AND(P56&lt;&gt;"",P56=V56),P56,""))</f>
        <v/>
      </c>
      <c r="AP56" s="15" t="str">
        <f aca="false">IF(AJ56&lt;&gt;"",AJ56,IF(AND(Q56&lt;&gt;"",Q56=W56),Q56,""))</f>
        <v/>
      </c>
      <c r="AQ56" s="15" t="str">
        <f aca="false">IF(AK56&lt;&gt;"",AK56,IF(AND(R56&lt;&gt;"",R56=X56),R56,""))</f>
        <v/>
      </c>
      <c r="AR56" s="16"/>
      <c r="AS56" s="9" t="str">
        <f aca="false">IF(COUNTA(M56:R56)+COUNTA(S56:X56)&lt;12,"Menunggu coder",IF(AE56=0,"Sepakat",IF(SUMPRODUCT((Y56:AD56="Beda")*(AF56:AK56=""))=0,"Selesai adjudikasi","Perlu adjudikasi")))</f>
        <v>Menunggu coder</v>
      </c>
      <c r="AT56" s="10" t="str">
        <f aca="false">IF(COUNTIF(AL56:AQ56,"?*")&lt;6,"",IF(IF(AND(AM56="R0",AQ56&lt;&gt;"K5"),"R0 harus K5; ","")&amp;IF(AND(AM56="R1",AQ56="K3"),"R1 tidak boleh K3 (fungsional); ","")&amp;IF(AND(AM56="R2",AQ56="K5"),"R2 tidak boleh K5; ","")&amp;IF(AND(AM56="R2",OR(AL56="S6",AL56="S7",AL56="S8")),"R2 tidak boleh S6/S7/S8; ","")&amp;IF(AND(AO56="P9",AN56&lt;&gt;"T17"),"P9 hanya dengan T17; ","")&amp;IF(AND(OR(AN56="T17",AO56="P9"),AM56&lt;&gt;"R0"),"T17/P9 harus R0; ","")&amp;IF(AND(AN56="T01",AO56&lt;&gt;"P6"),"T01 biasanya P6 (periksa); ","")&amp;IF(AND(AO56="P1",AQ56&lt;&gt;"K4"),"P1 biasanya K4 (periksa); ","")="","OK",IF(AND(AM56="R0",AQ56&lt;&gt;"K5"),"R0 harus K5; ","")&amp;IF(AND(AM56="R1",AQ56="K3"),"R1 tidak boleh K3 (fungsional); ","")&amp;IF(AND(AM56="R2",AQ56="K5"),"R2 tidak boleh K5; ","")&amp;IF(AND(AM56="R2",OR(AL56="S6",AL56="S7",AL56="S8")),"R2 tidak boleh S6/S7/S8; ","")&amp;IF(AND(AO56="P9",AN56&lt;&gt;"T17"),"P9 hanya dengan T17; ","")&amp;IF(AND(OR(AN56="T17",AO56="P9"),AM56&lt;&gt;"R0"),"T17/P9 harus R0; ","")&amp;IF(AND(AN56="T01",AO56&lt;&gt;"P6"),"T01 biasanya P6 (periksa); ","")&amp;IF(AND(AO56="P1",AQ56&lt;&gt;"K4"),"P1 biasanya K4 (periksa); ","")))</f>
        <v/>
      </c>
    </row>
    <row r="57" customFormat="false" ht="48" hidden="false" customHeight="true" outlineLevel="0" collapsed="false">
      <c r="A57" s="9" t="n">
        <v>54</v>
      </c>
      <c r="B57" s="10" t="str">
        <f aca="false">IF(INDEX(Korpus!$A:$A,$A57)="","",INDEX(Korpus!$A:$A,$A57))</f>
        <v/>
      </c>
      <c r="C57" s="10" t="str">
        <f aca="false">TRIM(INDEX(Korpus!$D:$D,$A57)&amp;" "&amp;INDEX(Korpus!$E:$E,$A57))</f>
        <v/>
      </c>
      <c r="D57" s="10" t="str">
        <f aca="false">IF(INDEX(Korpus!$B:$B,$A57)="","",INDEX(Korpus!$B:$B,$A57))</f>
        <v/>
      </c>
      <c r="E57" s="10" t="str">
        <f aca="false">IF(INDEX(Korpus!$C:$C,$A57)="","",INDEX(Korpus!$C:$C,$A57))</f>
        <v/>
      </c>
      <c r="F57" s="10" t="str">
        <f aca="false">IF(INDEX(Korpus!$F:$F,$A57)="","",INDEX(Korpus!$F:$F,$A57))</f>
        <v/>
      </c>
      <c r="G57" s="11"/>
      <c r="H57" s="11"/>
      <c r="I57" s="11"/>
      <c r="J57" s="11"/>
      <c r="K57" s="11"/>
      <c r="L57" s="11"/>
      <c r="M57" s="12"/>
      <c r="N57" s="12"/>
      <c r="O57" s="12"/>
      <c r="P57" s="12"/>
      <c r="Q57" s="12"/>
      <c r="R57" s="12"/>
      <c r="S57" s="13"/>
      <c r="T57" s="13"/>
      <c r="U57" s="13"/>
      <c r="V57" s="13"/>
      <c r="W57" s="13"/>
      <c r="X57" s="13"/>
      <c r="Y57" s="9" t="str">
        <f aca="false">IF(OR(M57="",S57=""),"",IF(M57=S57,"Sama","Beda"))</f>
        <v/>
      </c>
      <c r="Z57" s="9" t="str">
        <f aca="false">IF(OR(N57="",T57=""),"",IF(N57=T57,"Sama","Beda"))</f>
        <v/>
      </c>
      <c r="AA57" s="9" t="str">
        <f aca="false">IF(OR(O57="",U57=""),"",IF(O57=U57,"Sama","Beda"))</f>
        <v/>
      </c>
      <c r="AB57" s="9" t="str">
        <f aca="false">IF(OR(P57="",V57=""),"",IF(P57=V57,"Sama","Beda"))</f>
        <v/>
      </c>
      <c r="AC57" s="9" t="str">
        <f aca="false">IF(OR(Q57="",W57=""),"",IF(Q57=W57,"Sama","Beda"))</f>
        <v/>
      </c>
      <c r="AD57" s="9" t="str">
        <f aca="false">IF(OR(R57="",X57=""),"",IF(R57=X57,"Sama","Beda"))</f>
        <v/>
      </c>
      <c r="AE57" s="9" t="n">
        <f aca="false">COUNTIF(Y57:AD57,"Beda")</f>
        <v>0</v>
      </c>
      <c r="AF57" s="14"/>
      <c r="AG57" s="14"/>
      <c r="AH57" s="14"/>
      <c r="AI57" s="14"/>
      <c r="AJ57" s="14"/>
      <c r="AK57" s="14"/>
      <c r="AL57" s="15" t="str">
        <f aca="false">IF(AF57&lt;&gt;"",AF57,IF(AND(M57&lt;&gt;"",M57=S57),M57,""))</f>
        <v/>
      </c>
      <c r="AM57" s="15" t="str">
        <f aca="false">IF(AG57&lt;&gt;"",AG57,IF(AND(N57&lt;&gt;"",N57=T57),N57,""))</f>
        <v/>
      </c>
      <c r="AN57" s="15" t="str">
        <f aca="false">IF(AH57&lt;&gt;"",AH57,IF(AND(O57&lt;&gt;"",O57=U57),O57,""))</f>
        <v/>
      </c>
      <c r="AO57" s="15" t="str">
        <f aca="false">IF(AI57&lt;&gt;"",AI57,IF(AND(P57&lt;&gt;"",P57=V57),P57,""))</f>
        <v/>
      </c>
      <c r="AP57" s="15" t="str">
        <f aca="false">IF(AJ57&lt;&gt;"",AJ57,IF(AND(Q57&lt;&gt;"",Q57=W57),Q57,""))</f>
        <v/>
      </c>
      <c r="AQ57" s="15" t="str">
        <f aca="false">IF(AK57&lt;&gt;"",AK57,IF(AND(R57&lt;&gt;"",R57=X57),R57,""))</f>
        <v/>
      </c>
      <c r="AR57" s="16"/>
      <c r="AS57" s="9" t="str">
        <f aca="false">IF(COUNTA(M57:R57)+COUNTA(S57:X57)&lt;12,"Menunggu coder",IF(AE57=0,"Sepakat",IF(SUMPRODUCT((Y57:AD57="Beda")*(AF57:AK57=""))=0,"Selesai adjudikasi","Perlu adjudikasi")))</f>
        <v>Menunggu coder</v>
      </c>
      <c r="AT57" s="10" t="str">
        <f aca="false">IF(COUNTIF(AL57:AQ57,"?*")&lt;6,"",IF(IF(AND(AM57="R0",AQ57&lt;&gt;"K5"),"R0 harus K5; ","")&amp;IF(AND(AM57="R1",AQ57="K3"),"R1 tidak boleh K3 (fungsional); ","")&amp;IF(AND(AM57="R2",AQ57="K5"),"R2 tidak boleh K5; ","")&amp;IF(AND(AM57="R2",OR(AL57="S6",AL57="S7",AL57="S8")),"R2 tidak boleh S6/S7/S8; ","")&amp;IF(AND(AO57="P9",AN57&lt;&gt;"T17"),"P9 hanya dengan T17; ","")&amp;IF(AND(OR(AN57="T17",AO57="P9"),AM57&lt;&gt;"R0"),"T17/P9 harus R0; ","")&amp;IF(AND(AN57="T01",AO57&lt;&gt;"P6"),"T01 biasanya P6 (periksa); ","")&amp;IF(AND(AO57="P1",AQ57&lt;&gt;"K4"),"P1 biasanya K4 (periksa); ","")="","OK",IF(AND(AM57="R0",AQ57&lt;&gt;"K5"),"R0 harus K5; ","")&amp;IF(AND(AM57="R1",AQ57="K3"),"R1 tidak boleh K3 (fungsional); ","")&amp;IF(AND(AM57="R2",AQ57="K5"),"R2 tidak boleh K5; ","")&amp;IF(AND(AM57="R2",OR(AL57="S6",AL57="S7",AL57="S8")),"R2 tidak boleh S6/S7/S8; ","")&amp;IF(AND(AO57="P9",AN57&lt;&gt;"T17"),"P9 hanya dengan T17; ","")&amp;IF(AND(OR(AN57="T17",AO57="P9"),AM57&lt;&gt;"R0"),"T17/P9 harus R0; ","")&amp;IF(AND(AN57="T01",AO57&lt;&gt;"P6"),"T01 biasanya P6 (periksa); ","")&amp;IF(AND(AO57="P1",AQ57&lt;&gt;"K4"),"P1 biasanya K4 (periksa); ","")))</f>
        <v/>
      </c>
    </row>
    <row r="58" customFormat="false" ht="48" hidden="false" customHeight="true" outlineLevel="0" collapsed="false">
      <c r="A58" s="9" t="n">
        <v>55</v>
      </c>
      <c r="B58" s="10" t="str">
        <f aca="false">IF(INDEX(Korpus!$A:$A,$A58)="","",INDEX(Korpus!$A:$A,$A58))</f>
        <v/>
      </c>
      <c r="C58" s="10" t="str">
        <f aca="false">TRIM(INDEX(Korpus!$D:$D,$A58)&amp;" "&amp;INDEX(Korpus!$E:$E,$A58))</f>
        <v/>
      </c>
      <c r="D58" s="10" t="str">
        <f aca="false">IF(INDEX(Korpus!$B:$B,$A58)="","",INDEX(Korpus!$B:$B,$A58))</f>
        <v/>
      </c>
      <c r="E58" s="10" t="str">
        <f aca="false">IF(INDEX(Korpus!$C:$C,$A58)="","",INDEX(Korpus!$C:$C,$A58))</f>
        <v/>
      </c>
      <c r="F58" s="10" t="str">
        <f aca="false">IF(INDEX(Korpus!$F:$F,$A58)="","",INDEX(Korpus!$F:$F,$A58))</f>
        <v/>
      </c>
      <c r="G58" s="11"/>
      <c r="H58" s="11"/>
      <c r="I58" s="11"/>
      <c r="J58" s="11"/>
      <c r="K58" s="11"/>
      <c r="L58" s="11"/>
      <c r="M58" s="12"/>
      <c r="N58" s="12"/>
      <c r="O58" s="12"/>
      <c r="P58" s="12"/>
      <c r="Q58" s="12"/>
      <c r="R58" s="12"/>
      <c r="S58" s="13"/>
      <c r="T58" s="13"/>
      <c r="U58" s="13"/>
      <c r="V58" s="13"/>
      <c r="W58" s="13"/>
      <c r="X58" s="13"/>
      <c r="Y58" s="9" t="str">
        <f aca="false">IF(OR(M58="",S58=""),"",IF(M58=S58,"Sama","Beda"))</f>
        <v/>
      </c>
      <c r="Z58" s="9" t="str">
        <f aca="false">IF(OR(N58="",T58=""),"",IF(N58=T58,"Sama","Beda"))</f>
        <v/>
      </c>
      <c r="AA58" s="9" t="str">
        <f aca="false">IF(OR(O58="",U58=""),"",IF(O58=U58,"Sama","Beda"))</f>
        <v/>
      </c>
      <c r="AB58" s="9" t="str">
        <f aca="false">IF(OR(P58="",V58=""),"",IF(P58=V58,"Sama","Beda"))</f>
        <v/>
      </c>
      <c r="AC58" s="9" t="str">
        <f aca="false">IF(OR(Q58="",W58=""),"",IF(Q58=W58,"Sama","Beda"))</f>
        <v/>
      </c>
      <c r="AD58" s="9" t="str">
        <f aca="false">IF(OR(R58="",X58=""),"",IF(R58=X58,"Sama","Beda"))</f>
        <v/>
      </c>
      <c r="AE58" s="9" t="n">
        <f aca="false">COUNTIF(Y58:AD58,"Beda")</f>
        <v>0</v>
      </c>
      <c r="AF58" s="14"/>
      <c r="AG58" s="14"/>
      <c r="AH58" s="14"/>
      <c r="AI58" s="14"/>
      <c r="AJ58" s="14"/>
      <c r="AK58" s="14"/>
      <c r="AL58" s="15" t="str">
        <f aca="false">IF(AF58&lt;&gt;"",AF58,IF(AND(M58&lt;&gt;"",M58=S58),M58,""))</f>
        <v/>
      </c>
      <c r="AM58" s="15" t="str">
        <f aca="false">IF(AG58&lt;&gt;"",AG58,IF(AND(N58&lt;&gt;"",N58=T58),N58,""))</f>
        <v/>
      </c>
      <c r="AN58" s="15" t="str">
        <f aca="false">IF(AH58&lt;&gt;"",AH58,IF(AND(O58&lt;&gt;"",O58=U58),O58,""))</f>
        <v/>
      </c>
      <c r="AO58" s="15" t="str">
        <f aca="false">IF(AI58&lt;&gt;"",AI58,IF(AND(P58&lt;&gt;"",P58=V58),P58,""))</f>
        <v/>
      </c>
      <c r="AP58" s="15" t="str">
        <f aca="false">IF(AJ58&lt;&gt;"",AJ58,IF(AND(Q58&lt;&gt;"",Q58=W58),Q58,""))</f>
        <v/>
      </c>
      <c r="AQ58" s="15" t="str">
        <f aca="false">IF(AK58&lt;&gt;"",AK58,IF(AND(R58&lt;&gt;"",R58=X58),R58,""))</f>
        <v/>
      </c>
      <c r="AR58" s="16"/>
      <c r="AS58" s="9" t="str">
        <f aca="false">IF(COUNTA(M58:R58)+COUNTA(S58:X58)&lt;12,"Menunggu coder",IF(AE58=0,"Sepakat",IF(SUMPRODUCT((Y58:AD58="Beda")*(AF58:AK58=""))=0,"Selesai adjudikasi","Perlu adjudikasi")))</f>
        <v>Menunggu coder</v>
      </c>
      <c r="AT58" s="10" t="str">
        <f aca="false">IF(COUNTIF(AL58:AQ58,"?*")&lt;6,"",IF(IF(AND(AM58="R0",AQ58&lt;&gt;"K5"),"R0 harus K5; ","")&amp;IF(AND(AM58="R1",AQ58="K3"),"R1 tidak boleh K3 (fungsional); ","")&amp;IF(AND(AM58="R2",AQ58="K5"),"R2 tidak boleh K5; ","")&amp;IF(AND(AM58="R2",OR(AL58="S6",AL58="S7",AL58="S8")),"R2 tidak boleh S6/S7/S8; ","")&amp;IF(AND(AO58="P9",AN58&lt;&gt;"T17"),"P9 hanya dengan T17; ","")&amp;IF(AND(OR(AN58="T17",AO58="P9"),AM58&lt;&gt;"R0"),"T17/P9 harus R0; ","")&amp;IF(AND(AN58="T01",AO58&lt;&gt;"P6"),"T01 biasanya P6 (periksa); ","")&amp;IF(AND(AO58="P1",AQ58&lt;&gt;"K4"),"P1 biasanya K4 (periksa); ","")="","OK",IF(AND(AM58="R0",AQ58&lt;&gt;"K5"),"R0 harus K5; ","")&amp;IF(AND(AM58="R1",AQ58="K3"),"R1 tidak boleh K3 (fungsional); ","")&amp;IF(AND(AM58="R2",AQ58="K5"),"R2 tidak boleh K5; ","")&amp;IF(AND(AM58="R2",OR(AL58="S6",AL58="S7",AL58="S8")),"R2 tidak boleh S6/S7/S8; ","")&amp;IF(AND(AO58="P9",AN58&lt;&gt;"T17"),"P9 hanya dengan T17; ","")&amp;IF(AND(OR(AN58="T17",AO58="P9"),AM58&lt;&gt;"R0"),"T17/P9 harus R0; ","")&amp;IF(AND(AN58="T01",AO58&lt;&gt;"P6"),"T01 biasanya P6 (periksa); ","")&amp;IF(AND(AO58="P1",AQ58&lt;&gt;"K4"),"P1 biasanya K4 (periksa); ","")))</f>
        <v/>
      </c>
    </row>
    <row r="59" customFormat="false" ht="48" hidden="false" customHeight="true" outlineLevel="0" collapsed="false">
      <c r="A59" s="9" t="n">
        <v>56</v>
      </c>
      <c r="B59" s="10" t="str">
        <f aca="false">IF(INDEX(Korpus!$A:$A,$A59)="","",INDEX(Korpus!$A:$A,$A59))</f>
        <v/>
      </c>
      <c r="C59" s="10" t="str">
        <f aca="false">TRIM(INDEX(Korpus!$D:$D,$A59)&amp;" "&amp;INDEX(Korpus!$E:$E,$A59))</f>
        <v/>
      </c>
      <c r="D59" s="10" t="str">
        <f aca="false">IF(INDEX(Korpus!$B:$B,$A59)="","",INDEX(Korpus!$B:$B,$A59))</f>
        <v/>
      </c>
      <c r="E59" s="10" t="str">
        <f aca="false">IF(INDEX(Korpus!$C:$C,$A59)="","",INDEX(Korpus!$C:$C,$A59))</f>
        <v/>
      </c>
      <c r="F59" s="10" t="str">
        <f aca="false">IF(INDEX(Korpus!$F:$F,$A59)="","",INDEX(Korpus!$F:$F,$A59))</f>
        <v/>
      </c>
      <c r="G59" s="11"/>
      <c r="H59" s="11"/>
      <c r="I59" s="11"/>
      <c r="J59" s="11"/>
      <c r="K59" s="11"/>
      <c r="L59" s="11"/>
      <c r="M59" s="12"/>
      <c r="N59" s="12"/>
      <c r="O59" s="12"/>
      <c r="P59" s="12"/>
      <c r="Q59" s="12"/>
      <c r="R59" s="12"/>
      <c r="S59" s="13"/>
      <c r="T59" s="13"/>
      <c r="U59" s="13"/>
      <c r="V59" s="13"/>
      <c r="W59" s="13"/>
      <c r="X59" s="13"/>
      <c r="Y59" s="9" t="str">
        <f aca="false">IF(OR(M59="",S59=""),"",IF(M59=S59,"Sama","Beda"))</f>
        <v/>
      </c>
      <c r="Z59" s="9" t="str">
        <f aca="false">IF(OR(N59="",T59=""),"",IF(N59=T59,"Sama","Beda"))</f>
        <v/>
      </c>
      <c r="AA59" s="9" t="str">
        <f aca="false">IF(OR(O59="",U59=""),"",IF(O59=U59,"Sama","Beda"))</f>
        <v/>
      </c>
      <c r="AB59" s="9" t="str">
        <f aca="false">IF(OR(P59="",V59=""),"",IF(P59=V59,"Sama","Beda"))</f>
        <v/>
      </c>
      <c r="AC59" s="9" t="str">
        <f aca="false">IF(OR(Q59="",W59=""),"",IF(Q59=W59,"Sama","Beda"))</f>
        <v/>
      </c>
      <c r="AD59" s="9" t="str">
        <f aca="false">IF(OR(R59="",X59=""),"",IF(R59=X59,"Sama","Beda"))</f>
        <v/>
      </c>
      <c r="AE59" s="9" t="n">
        <f aca="false">COUNTIF(Y59:AD59,"Beda")</f>
        <v>0</v>
      </c>
      <c r="AF59" s="14"/>
      <c r="AG59" s="14"/>
      <c r="AH59" s="14"/>
      <c r="AI59" s="14"/>
      <c r="AJ59" s="14"/>
      <c r="AK59" s="14"/>
      <c r="AL59" s="15" t="str">
        <f aca="false">IF(AF59&lt;&gt;"",AF59,IF(AND(M59&lt;&gt;"",M59=S59),M59,""))</f>
        <v/>
      </c>
      <c r="AM59" s="15" t="str">
        <f aca="false">IF(AG59&lt;&gt;"",AG59,IF(AND(N59&lt;&gt;"",N59=T59),N59,""))</f>
        <v/>
      </c>
      <c r="AN59" s="15" t="str">
        <f aca="false">IF(AH59&lt;&gt;"",AH59,IF(AND(O59&lt;&gt;"",O59=U59),O59,""))</f>
        <v/>
      </c>
      <c r="AO59" s="15" t="str">
        <f aca="false">IF(AI59&lt;&gt;"",AI59,IF(AND(P59&lt;&gt;"",P59=V59),P59,""))</f>
        <v/>
      </c>
      <c r="AP59" s="15" t="str">
        <f aca="false">IF(AJ59&lt;&gt;"",AJ59,IF(AND(Q59&lt;&gt;"",Q59=W59),Q59,""))</f>
        <v/>
      </c>
      <c r="AQ59" s="15" t="str">
        <f aca="false">IF(AK59&lt;&gt;"",AK59,IF(AND(R59&lt;&gt;"",R59=X59),R59,""))</f>
        <v/>
      </c>
      <c r="AR59" s="16"/>
      <c r="AS59" s="9" t="str">
        <f aca="false">IF(COUNTA(M59:R59)+COUNTA(S59:X59)&lt;12,"Menunggu coder",IF(AE59=0,"Sepakat",IF(SUMPRODUCT((Y59:AD59="Beda")*(AF59:AK59=""))=0,"Selesai adjudikasi","Perlu adjudikasi")))</f>
        <v>Menunggu coder</v>
      </c>
      <c r="AT59" s="10" t="str">
        <f aca="false">IF(COUNTIF(AL59:AQ59,"?*")&lt;6,"",IF(IF(AND(AM59="R0",AQ59&lt;&gt;"K5"),"R0 harus K5; ","")&amp;IF(AND(AM59="R1",AQ59="K3"),"R1 tidak boleh K3 (fungsional); ","")&amp;IF(AND(AM59="R2",AQ59="K5"),"R2 tidak boleh K5; ","")&amp;IF(AND(AM59="R2",OR(AL59="S6",AL59="S7",AL59="S8")),"R2 tidak boleh S6/S7/S8; ","")&amp;IF(AND(AO59="P9",AN59&lt;&gt;"T17"),"P9 hanya dengan T17; ","")&amp;IF(AND(OR(AN59="T17",AO59="P9"),AM59&lt;&gt;"R0"),"T17/P9 harus R0; ","")&amp;IF(AND(AN59="T01",AO59&lt;&gt;"P6"),"T01 biasanya P6 (periksa); ","")&amp;IF(AND(AO59="P1",AQ59&lt;&gt;"K4"),"P1 biasanya K4 (periksa); ","")="","OK",IF(AND(AM59="R0",AQ59&lt;&gt;"K5"),"R0 harus K5; ","")&amp;IF(AND(AM59="R1",AQ59="K3"),"R1 tidak boleh K3 (fungsional); ","")&amp;IF(AND(AM59="R2",AQ59="K5"),"R2 tidak boleh K5; ","")&amp;IF(AND(AM59="R2",OR(AL59="S6",AL59="S7",AL59="S8")),"R2 tidak boleh S6/S7/S8; ","")&amp;IF(AND(AO59="P9",AN59&lt;&gt;"T17"),"P9 hanya dengan T17; ","")&amp;IF(AND(OR(AN59="T17",AO59="P9"),AM59&lt;&gt;"R0"),"T17/P9 harus R0; ","")&amp;IF(AND(AN59="T01",AO59&lt;&gt;"P6"),"T01 biasanya P6 (periksa); ","")&amp;IF(AND(AO59="P1",AQ59&lt;&gt;"K4"),"P1 biasanya K4 (periksa); ","")))</f>
        <v/>
      </c>
    </row>
    <row r="60" customFormat="false" ht="48" hidden="false" customHeight="true" outlineLevel="0" collapsed="false">
      <c r="A60" s="9" t="n">
        <v>57</v>
      </c>
      <c r="B60" s="10" t="str">
        <f aca="false">IF(INDEX(Korpus!$A:$A,$A60)="","",INDEX(Korpus!$A:$A,$A60))</f>
        <v/>
      </c>
      <c r="C60" s="10" t="str">
        <f aca="false">TRIM(INDEX(Korpus!$D:$D,$A60)&amp;" "&amp;INDEX(Korpus!$E:$E,$A60))</f>
        <v/>
      </c>
      <c r="D60" s="10" t="str">
        <f aca="false">IF(INDEX(Korpus!$B:$B,$A60)="","",INDEX(Korpus!$B:$B,$A60))</f>
        <v/>
      </c>
      <c r="E60" s="10" t="str">
        <f aca="false">IF(INDEX(Korpus!$C:$C,$A60)="","",INDEX(Korpus!$C:$C,$A60))</f>
        <v/>
      </c>
      <c r="F60" s="10" t="str">
        <f aca="false">IF(INDEX(Korpus!$F:$F,$A60)="","",INDEX(Korpus!$F:$F,$A60))</f>
        <v/>
      </c>
      <c r="G60" s="11"/>
      <c r="H60" s="11"/>
      <c r="I60" s="11"/>
      <c r="J60" s="11"/>
      <c r="K60" s="11"/>
      <c r="L60" s="11"/>
      <c r="M60" s="12"/>
      <c r="N60" s="12"/>
      <c r="O60" s="12"/>
      <c r="P60" s="12"/>
      <c r="Q60" s="12"/>
      <c r="R60" s="12"/>
      <c r="S60" s="13"/>
      <c r="T60" s="13"/>
      <c r="U60" s="13"/>
      <c r="V60" s="13"/>
      <c r="W60" s="13"/>
      <c r="X60" s="13"/>
      <c r="Y60" s="9" t="str">
        <f aca="false">IF(OR(M60="",S60=""),"",IF(M60=S60,"Sama","Beda"))</f>
        <v/>
      </c>
      <c r="Z60" s="9" t="str">
        <f aca="false">IF(OR(N60="",T60=""),"",IF(N60=T60,"Sama","Beda"))</f>
        <v/>
      </c>
      <c r="AA60" s="9" t="str">
        <f aca="false">IF(OR(O60="",U60=""),"",IF(O60=U60,"Sama","Beda"))</f>
        <v/>
      </c>
      <c r="AB60" s="9" t="str">
        <f aca="false">IF(OR(P60="",V60=""),"",IF(P60=V60,"Sama","Beda"))</f>
        <v/>
      </c>
      <c r="AC60" s="9" t="str">
        <f aca="false">IF(OR(Q60="",W60=""),"",IF(Q60=W60,"Sama","Beda"))</f>
        <v/>
      </c>
      <c r="AD60" s="9" t="str">
        <f aca="false">IF(OR(R60="",X60=""),"",IF(R60=X60,"Sama","Beda"))</f>
        <v/>
      </c>
      <c r="AE60" s="9" t="n">
        <f aca="false">COUNTIF(Y60:AD60,"Beda")</f>
        <v>0</v>
      </c>
      <c r="AF60" s="14"/>
      <c r="AG60" s="14"/>
      <c r="AH60" s="14"/>
      <c r="AI60" s="14"/>
      <c r="AJ60" s="14"/>
      <c r="AK60" s="14"/>
      <c r="AL60" s="15" t="str">
        <f aca="false">IF(AF60&lt;&gt;"",AF60,IF(AND(M60&lt;&gt;"",M60=S60),M60,""))</f>
        <v/>
      </c>
      <c r="AM60" s="15" t="str">
        <f aca="false">IF(AG60&lt;&gt;"",AG60,IF(AND(N60&lt;&gt;"",N60=T60),N60,""))</f>
        <v/>
      </c>
      <c r="AN60" s="15" t="str">
        <f aca="false">IF(AH60&lt;&gt;"",AH60,IF(AND(O60&lt;&gt;"",O60=U60),O60,""))</f>
        <v/>
      </c>
      <c r="AO60" s="15" t="str">
        <f aca="false">IF(AI60&lt;&gt;"",AI60,IF(AND(P60&lt;&gt;"",P60=V60),P60,""))</f>
        <v/>
      </c>
      <c r="AP60" s="15" t="str">
        <f aca="false">IF(AJ60&lt;&gt;"",AJ60,IF(AND(Q60&lt;&gt;"",Q60=W60),Q60,""))</f>
        <v/>
      </c>
      <c r="AQ60" s="15" t="str">
        <f aca="false">IF(AK60&lt;&gt;"",AK60,IF(AND(R60&lt;&gt;"",R60=X60),R60,""))</f>
        <v/>
      </c>
      <c r="AR60" s="16"/>
      <c r="AS60" s="9" t="str">
        <f aca="false">IF(COUNTA(M60:R60)+COUNTA(S60:X60)&lt;12,"Menunggu coder",IF(AE60=0,"Sepakat",IF(SUMPRODUCT((Y60:AD60="Beda")*(AF60:AK60=""))=0,"Selesai adjudikasi","Perlu adjudikasi")))</f>
        <v>Menunggu coder</v>
      </c>
      <c r="AT60" s="10" t="str">
        <f aca="false">IF(COUNTIF(AL60:AQ60,"?*")&lt;6,"",IF(IF(AND(AM60="R0",AQ60&lt;&gt;"K5"),"R0 harus K5; ","")&amp;IF(AND(AM60="R1",AQ60="K3"),"R1 tidak boleh K3 (fungsional); ","")&amp;IF(AND(AM60="R2",AQ60="K5"),"R2 tidak boleh K5; ","")&amp;IF(AND(AM60="R2",OR(AL60="S6",AL60="S7",AL60="S8")),"R2 tidak boleh S6/S7/S8; ","")&amp;IF(AND(AO60="P9",AN60&lt;&gt;"T17"),"P9 hanya dengan T17; ","")&amp;IF(AND(OR(AN60="T17",AO60="P9"),AM60&lt;&gt;"R0"),"T17/P9 harus R0; ","")&amp;IF(AND(AN60="T01",AO60&lt;&gt;"P6"),"T01 biasanya P6 (periksa); ","")&amp;IF(AND(AO60="P1",AQ60&lt;&gt;"K4"),"P1 biasanya K4 (periksa); ","")="","OK",IF(AND(AM60="R0",AQ60&lt;&gt;"K5"),"R0 harus K5; ","")&amp;IF(AND(AM60="R1",AQ60="K3"),"R1 tidak boleh K3 (fungsional); ","")&amp;IF(AND(AM60="R2",AQ60="K5"),"R2 tidak boleh K5; ","")&amp;IF(AND(AM60="R2",OR(AL60="S6",AL60="S7",AL60="S8")),"R2 tidak boleh S6/S7/S8; ","")&amp;IF(AND(AO60="P9",AN60&lt;&gt;"T17"),"P9 hanya dengan T17; ","")&amp;IF(AND(OR(AN60="T17",AO60="P9"),AM60&lt;&gt;"R0"),"T17/P9 harus R0; ","")&amp;IF(AND(AN60="T01",AO60&lt;&gt;"P6"),"T01 biasanya P6 (periksa); ","")&amp;IF(AND(AO60="P1",AQ60&lt;&gt;"K4"),"P1 biasanya K4 (periksa); ","")))</f>
        <v/>
      </c>
    </row>
    <row r="61" customFormat="false" ht="48" hidden="false" customHeight="true" outlineLevel="0" collapsed="false">
      <c r="A61" s="9" t="n">
        <v>58</v>
      </c>
      <c r="B61" s="10" t="str">
        <f aca="false">IF(INDEX(Korpus!$A:$A,$A61)="","",INDEX(Korpus!$A:$A,$A61))</f>
        <v/>
      </c>
      <c r="C61" s="10" t="str">
        <f aca="false">TRIM(INDEX(Korpus!$D:$D,$A61)&amp;" "&amp;INDEX(Korpus!$E:$E,$A61))</f>
        <v/>
      </c>
      <c r="D61" s="10" t="str">
        <f aca="false">IF(INDEX(Korpus!$B:$B,$A61)="","",INDEX(Korpus!$B:$B,$A61))</f>
        <v/>
      </c>
      <c r="E61" s="10" t="str">
        <f aca="false">IF(INDEX(Korpus!$C:$C,$A61)="","",INDEX(Korpus!$C:$C,$A61))</f>
        <v/>
      </c>
      <c r="F61" s="10" t="str">
        <f aca="false">IF(INDEX(Korpus!$F:$F,$A61)="","",INDEX(Korpus!$F:$F,$A61))</f>
        <v/>
      </c>
      <c r="G61" s="11"/>
      <c r="H61" s="11"/>
      <c r="I61" s="11"/>
      <c r="J61" s="11"/>
      <c r="K61" s="11"/>
      <c r="L61" s="11"/>
      <c r="M61" s="12"/>
      <c r="N61" s="12"/>
      <c r="O61" s="12"/>
      <c r="P61" s="12"/>
      <c r="Q61" s="12"/>
      <c r="R61" s="12"/>
      <c r="S61" s="13"/>
      <c r="T61" s="13"/>
      <c r="U61" s="13"/>
      <c r="V61" s="13"/>
      <c r="W61" s="13"/>
      <c r="X61" s="13"/>
      <c r="Y61" s="9" t="str">
        <f aca="false">IF(OR(M61="",S61=""),"",IF(M61=S61,"Sama","Beda"))</f>
        <v/>
      </c>
      <c r="Z61" s="9" t="str">
        <f aca="false">IF(OR(N61="",T61=""),"",IF(N61=T61,"Sama","Beda"))</f>
        <v/>
      </c>
      <c r="AA61" s="9" t="str">
        <f aca="false">IF(OR(O61="",U61=""),"",IF(O61=U61,"Sama","Beda"))</f>
        <v/>
      </c>
      <c r="AB61" s="9" t="str">
        <f aca="false">IF(OR(P61="",V61=""),"",IF(P61=V61,"Sama","Beda"))</f>
        <v/>
      </c>
      <c r="AC61" s="9" t="str">
        <f aca="false">IF(OR(Q61="",W61=""),"",IF(Q61=W61,"Sama","Beda"))</f>
        <v/>
      </c>
      <c r="AD61" s="9" t="str">
        <f aca="false">IF(OR(R61="",X61=""),"",IF(R61=X61,"Sama","Beda"))</f>
        <v/>
      </c>
      <c r="AE61" s="9" t="n">
        <f aca="false">COUNTIF(Y61:AD61,"Beda")</f>
        <v>0</v>
      </c>
      <c r="AF61" s="14"/>
      <c r="AG61" s="14"/>
      <c r="AH61" s="14"/>
      <c r="AI61" s="14"/>
      <c r="AJ61" s="14"/>
      <c r="AK61" s="14"/>
      <c r="AL61" s="15" t="str">
        <f aca="false">IF(AF61&lt;&gt;"",AF61,IF(AND(M61&lt;&gt;"",M61=S61),M61,""))</f>
        <v/>
      </c>
      <c r="AM61" s="15" t="str">
        <f aca="false">IF(AG61&lt;&gt;"",AG61,IF(AND(N61&lt;&gt;"",N61=T61),N61,""))</f>
        <v/>
      </c>
      <c r="AN61" s="15" t="str">
        <f aca="false">IF(AH61&lt;&gt;"",AH61,IF(AND(O61&lt;&gt;"",O61=U61),O61,""))</f>
        <v/>
      </c>
      <c r="AO61" s="15" t="str">
        <f aca="false">IF(AI61&lt;&gt;"",AI61,IF(AND(P61&lt;&gt;"",P61=V61),P61,""))</f>
        <v/>
      </c>
      <c r="AP61" s="15" t="str">
        <f aca="false">IF(AJ61&lt;&gt;"",AJ61,IF(AND(Q61&lt;&gt;"",Q61=W61),Q61,""))</f>
        <v/>
      </c>
      <c r="AQ61" s="15" t="str">
        <f aca="false">IF(AK61&lt;&gt;"",AK61,IF(AND(R61&lt;&gt;"",R61=X61),R61,""))</f>
        <v/>
      </c>
      <c r="AR61" s="16"/>
      <c r="AS61" s="9" t="str">
        <f aca="false">IF(COUNTA(M61:R61)+COUNTA(S61:X61)&lt;12,"Menunggu coder",IF(AE61=0,"Sepakat",IF(SUMPRODUCT((Y61:AD61="Beda")*(AF61:AK61=""))=0,"Selesai adjudikasi","Perlu adjudikasi")))</f>
        <v>Menunggu coder</v>
      </c>
      <c r="AT61" s="10" t="str">
        <f aca="false">IF(COUNTIF(AL61:AQ61,"?*")&lt;6,"",IF(IF(AND(AM61="R0",AQ61&lt;&gt;"K5"),"R0 harus K5; ","")&amp;IF(AND(AM61="R1",AQ61="K3"),"R1 tidak boleh K3 (fungsional); ","")&amp;IF(AND(AM61="R2",AQ61="K5"),"R2 tidak boleh K5; ","")&amp;IF(AND(AM61="R2",OR(AL61="S6",AL61="S7",AL61="S8")),"R2 tidak boleh S6/S7/S8; ","")&amp;IF(AND(AO61="P9",AN61&lt;&gt;"T17"),"P9 hanya dengan T17; ","")&amp;IF(AND(OR(AN61="T17",AO61="P9"),AM61&lt;&gt;"R0"),"T17/P9 harus R0; ","")&amp;IF(AND(AN61="T01",AO61&lt;&gt;"P6"),"T01 biasanya P6 (periksa); ","")&amp;IF(AND(AO61="P1",AQ61&lt;&gt;"K4"),"P1 biasanya K4 (periksa); ","")="","OK",IF(AND(AM61="R0",AQ61&lt;&gt;"K5"),"R0 harus K5; ","")&amp;IF(AND(AM61="R1",AQ61="K3"),"R1 tidak boleh K3 (fungsional); ","")&amp;IF(AND(AM61="R2",AQ61="K5"),"R2 tidak boleh K5; ","")&amp;IF(AND(AM61="R2",OR(AL61="S6",AL61="S7",AL61="S8")),"R2 tidak boleh S6/S7/S8; ","")&amp;IF(AND(AO61="P9",AN61&lt;&gt;"T17"),"P9 hanya dengan T17; ","")&amp;IF(AND(OR(AN61="T17",AO61="P9"),AM61&lt;&gt;"R0"),"T17/P9 harus R0; ","")&amp;IF(AND(AN61="T01",AO61&lt;&gt;"P6"),"T01 biasanya P6 (periksa); ","")&amp;IF(AND(AO61="P1",AQ61&lt;&gt;"K4"),"P1 biasanya K4 (periksa); ","")))</f>
        <v/>
      </c>
    </row>
    <row r="62" customFormat="false" ht="48" hidden="false" customHeight="true" outlineLevel="0" collapsed="false">
      <c r="A62" s="9" t="n">
        <v>59</v>
      </c>
      <c r="B62" s="10" t="str">
        <f aca="false">IF(INDEX(Korpus!$A:$A,$A62)="","",INDEX(Korpus!$A:$A,$A62))</f>
        <v/>
      </c>
      <c r="C62" s="10" t="str">
        <f aca="false">TRIM(INDEX(Korpus!$D:$D,$A62)&amp;" "&amp;INDEX(Korpus!$E:$E,$A62))</f>
        <v/>
      </c>
      <c r="D62" s="10" t="str">
        <f aca="false">IF(INDEX(Korpus!$B:$B,$A62)="","",INDEX(Korpus!$B:$B,$A62))</f>
        <v/>
      </c>
      <c r="E62" s="10" t="str">
        <f aca="false">IF(INDEX(Korpus!$C:$C,$A62)="","",INDEX(Korpus!$C:$C,$A62))</f>
        <v/>
      </c>
      <c r="F62" s="10" t="str">
        <f aca="false">IF(INDEX(Korpus!$F:$F,$A62)="","",INDEX(Korpus!$F:$F,$A62))</f>
        <v/>
      </c>
      <c r="G62" s="11"/>
      <c r="H62" s="11"/>
      <c r="I62" s="11"/>
      <c r="J62" s="11"/>
      <c r="K62" s="11"/>
      <c r="L62" s="11"/>
      <c r="M62" s="12"/>
      <c r="N62" s="12"/>
      <c r="O62" s="12"/>
      <c r="P62" s="12"/>
      <c r="Q62" s="12"/>
      <c r="R62" s="12"/>
      <c r="S62" s="13"/>
      <c r="T62" s="13"/>
      <c r="U62" s="13"/>
      <c r="V62" s="13"/>
      <c r="W62" s="13"/>
      <c r="X62" s="13"/>
      <c r="Y62" s="9" t="str">
        <f aca="false">IF(OR(M62="",S62=""),"",IF(M62=S62,"Sama","Beda"))</f>
        <v/>
      </c>
      <c r="Z62" s="9" t="str">
        <f aca="false">IF(OR(N62="",T62=""),"",IF(N62=T62,"Sama","Beda"))</f>
        <v/>
      </c>
      <c r="AA62" s="9" t="str">
        <f aca="false">IF(OR(O62="",U62=""),"",IF(O62=U62,"Sama","Beda"))</f>
        <v/>
      </c>
      <c r="AB62" s="9" t="str">
        <f aca="false">IF(OR(P62="",V62=""),"",IF(P62=V62,"Sama","Beda"))</f>
        <v/>
      </c>
      <c r="AC62" s="9" t="str">
        <f aca="false">IF(OR(Q62="",W62=""),"",IF(Q62=W62,"Sama","Beda"))</f>
        <v/>
      </c>
      <c r="AD62" s="9" t="str">
        <f aca="false">IF(OR(R62="",X62=""),"",IF(R62=X62,"Sama","Beda"))</f>
        <v/>
      </c>
      <c r="AE62" s="9" t="n">
        <f aca="false">COUNTIF(Y62:AD62,"Beda")</f>
        <v>0</v>
      </c>
      <c r="AF62" s="14"/>
      <c r="AG62" s="14"/>
      <c r="AH62" s="14"/>
      <c r="AI62" s="14"/>
      <c r="AJ62" s="14"/>
      <c r="AK62" s="14"/>
      <c r="AL62" s="15" t="str">
        <f aca="false">IF(AF62&lt;&gt;"",AF62,IF(AND(M62&lt;&gt;"",M62=S62),M62,""))</f>
        <v/>
      </c>
      <c r="AM62" s="15" t="str">
        <f aca="false">IF(AG62&lt;&gt;"",AG62,IF(AND(N62&lt;&gt;"",N62=T62),N62,""))</f>
        <v/>
      </c>
      <c r="AN62" s="15" t="str">
        <f aca="false">IF(AH62&lt;&gt;"",AH62,IF(AND(O62&lt;&gt;"",O62=U62),O62,""))</f>
        <v/>
      </c>
      <c r="AO62" s="15" t="str">
        <f aca="false">IF(AI62&lt;&gt;"",AI62,IF(AND(P62&lt;&gt;"",P62=V62),P62,""))</f>
        <v/>
      </c>
      <c r="AP62" s="15" t="str">
        <f aca="false">IF(AJ62&lt;&gt;"",AJ62,IF(AND(Q62&lt;&gt;"",Q62=W62),Q62,""))</f>
        <v/>
      </c>
      <c r="AQ62" s="15" t="str">
        <f aca="false">IF(AK62&lt;&gt;"",AK62,IF(AND(R62&lt;&gt;"",R62=X62),R62,""))</f>
        <v/>
      </c>
      <c r="AR62" s="16"/>
      <c r="AS62" s="9" t="str">
        <f aca="false">IF(COUNTA(M62:R62)+COUNTA(S62:X62)&lt;12,"Menunggu coder",IF(AE62=0,"Sepakat",IF(SUMPRODUCT((Y62:AD62="Beda")*(AF62:AK62=""))=0,"Selesai adjudikasi","Perlu adjudikasi")))</f>
        <v>Menunggu coder</v>
      </c>
      <c r="AT62" s="10" t="str">
        <f aca="false">IF(COUNTIF(AL62:AQ62,"?*")&lt;6,"",IF(IF(AND(AM62="R0",AQ62&lt;&gt;"K5"),"R0 harus K5; ","")&amp;IF(AND(AM62="R1",AQ62="K3"),"R1 tidak boleh K3 (fungsional); ","")&amp;IF(AND(AM62="R2",AQ62="K5"),"R2 tidak boleh K5; ","")&amp;IF(AND(AM62="R2",OR(AL62="S6",AL62="S7",AL62="S8")),"R2 tidak boleh S6/S7/S8; ","")&amp;IF(AND(AO62="P9",AN62&lt;&gt;"T17"),"P9 hanya dengan T17; ","")&amp;IF(AND(OR(AN62="T17",AO62="P9"),AM62&lt;&gt;"R0"),"T17/P9 harus R0; ","")&amp;IF(AND(AN62="T01",AO62&lt;&gt;"P6"),"T01 biasanya P6 (periksa); ","")&amp;IF(AND(AO62="P1",AQ62&lt;&gt;"K4"),"P1 biasanya K4 (periksa); ","")="","OK",IF(AND(AM62="R0",AQ62&lt;&gt;"K5"),"R0 harus K5; ","")&amp;IF(AND(AM62="R1",AQ62="K3"),"R1 tidak boleh K3 (fungsional); ","")&amp;IF(AND(AM62="R2",AQ62="K5"),"R2 tidak boleh K5; ","")&amp;IF(AND(AM62="R2",OR(AL62="S6",AL62="S7",AL62="S8")),"R2 tidak boleh S6/S7/S8; ","")&amp;IF(AND(AO62="P9",AN62&lt;&gt;"T17"),"P9 hanya dengan T17; ","")&amp;IF(AND(OR(AN62="T17",AO62="P9"),AM62&lt;&gt;"R0"),"T17/P9 harus R0; ","")&amp;IF(AND(AN62="T01",AO62&lt;&gt;"P6"),"T01 biasanya P6 (periksa); ","")&amp;IF(AND(AO62="P1",AQ62&lt;&gt;"K4"),"P1 biasanya K4 (periksa); ","")))</f>
        <v/>
      </c>
    </row>
    <row r="63" customFormat="false" ht="48" hidden="false" customHeight="true" outlineLevel="0" collapsed="false">
      <c r="A63" s="9" t="n">
        <v>60</v>
      </c>
      <c r="B63" s="10" t="str">
        <f aca="false">IF(INDEX(Korpus!$A:$A,$A63)="","",INDEX(Korpus!$A:$A,$A63))</f>
        <v/>
      </c>
      <c r="C63" s="10" t="str">
        <f aca="false">TRIM(INDEX(Korpus!$D:$D,$A63)&amp;" "&amp;INDEX(Korpus!$E:$E,$A63))</f>
        <v/>
      </c>
      <c r="D63" s="10" t="str">
        <f aca="false">IF(INDEX(Korpus!$B:$B,$A63)="","",INDEX(Korpus!$B:$B,$A63))</f>
        <v/>
      </c>
      <c r="E63" s="10" t="str">
        <f aca="false">IF(INDEX(Korpus!$C:$C,$A63)="","",INDEX(Korpus!$C:$C,$A63))</f>
        <v/>
      </c>
      <c r="F63" s="10" t="str">
        <f aca="false">IF(INDEX(Korpus!$F:$F,$A63)="","",INDEX(Korpus!$F:$F,$A63))</f>
        <v/>
      </c>
      <c r="G63" s="11"/>
      <c r="H63" s="11"/>
      <c r="I63" s="11"/>
      <c r="J63" s="11"/>
      <c r="K63" s="11"/>
      <c r="L63" s="11"/>
      <c r="M63" s="12"/>
      <c r="N63" s="12"/>
      <c r="O63" s="12"/>
      <c r="P63" s="12"/>
      <c r="Q63" s="12"/>
      <c r="R63" s="12"/>
      <c r="S63" s="13"/>
      <c r="T63" s="13"/>
      <c r="U63" s="13"/>
      <c r="V63" s="13"/>
      <c r="W63" s="13"/>
      <c r="X63" s="13"/>
      <c r="Y63" s="9" t="str">
        <f aca="false">IF(OR(M63="",S63=""),"",IF(M63=S63,"Sama","Beda"))</f>
        <v/>
      </c>
      <c r="Z63" s="9" t="str">
        <f aca="false">IF(OR(N63="",T63=""),"",IF(N63=T63,"Sama","Beda"))</f>
        <v/>
      </c>
      <c r="AA63" s="9" t="str">
        <f aca="false">IF(OR(O63="",U63=""),"",IF(O63=U63,"Sama","Beda"))</f>
        <v/>
      </c>
      <c r="AB63" s="9" t="str">
        <f aca="false">IF(OR(P63="",V63=""),"",IF(P63=V63,"Sama","Beda"))</f>
        <v/>
      </c>
      <c r="AC63" s="9" t="str">
        <f aca="false">IF(OR(Q63="",W63=""),"",IF(Q63=W63,"Sama","Beda"))</f>
        <v/>
      </c>
      <c r="AD63" s="9" t="str">
        <f aca="false">IF(OR(R63="",X63=""),"",IF(R63=X63,"Sama","Beda"))</f>
        <v/>
      </c>
      <c r="AE63" s="9" t="n">
        <f aca="false">COUNTIF(Y63:AD63,"Beda")</f>
        <v>0</v>
      </c>
      <c r="AF63" s="14"/>
      <c r="AG63" s="14"/>
      <c r="AH63" s="14"/>
      <c r="AI63" s="14"/>
      <c r="AJ63" s="14"/>
      <c r="AK63" s="14"/>
      <c r="AL63" s="15" t="str">
        <f aca="false">IF(AF63&lt;&gt;"",AF63,IF(AND(M63&lt;&gt;"",M63=S63),M63,""))</f>
        <v/>
      </c>
      <c r="AM63" s="15" t="str">
        <f aca="false">IF(AG63&lt;&gt;"",AG63,IF(AND(N63&lt;&gt;"",N63=T63),N63,""))</f>
        <v/>
      </c>
      <c r="AN63" s="15" t="str">
        <f aca="false">IF(AH63&lt;&gt;"",AH63,IF(AND(O63&lt;&gt;"",O63=U63),O63,""))</f>
        <v/>
      </c>
      <c r="AO63" s="15" t="str">
        <f aca="false">IF(AI63&lt;&gt;"",AI63,IF(AND(P63&lt;&gt;"",P63=V63),P63,""))</f>
        <v/>
      </c>
      <c r="AP63" s="15" t="str">
        <f aca="false">IF(AJ63&lt;&gt;"",AJ63,IF(AND(Q63&lt;&gt;"",Q63=W63),Q63,""))</f>
        <v/>
      </c>
      <c r="AQ63" s="15" t="str">
        <f aca="false">IF(AK63&lt;&gt;"",AK63,IF(AND(R63&lt;&gt;"",R63=X63),R63,""))</f>
        <v/>
      </c>
      <c r="AR63" s="16"/>
      <c r="AS63" s="9" t="str">
        <f aca="false">IF(COUNTA(M63:R63)+COUNTA(S63:X63)&lt;12,"Menunggu coder",IF(AE63=0,"Sepakat",IF(SUMPRODUCT((Y63:AD63="Beda")*(AF63:AK63=""))=0,"Selesai adjudikasi","Perlu adjudikasi")))</f>
        <v>Menunggu coder</v>
      </c>
      <c r="AT63" s="10" t="str">
        <f aca="false">IF(COUNTIF(AL63:AQ63,"?*")&lt;6,"",IF(IF(AND(AM63="R0",AQ63&lt;&gt;"K5"),"R0 harus K5; ","")&amp;IF(AND(AM63="R1",AQ63="K3"),"R1 tidak boleh K3 (fungsional); ","")&amp;IF(AND(AM63="R2",AQ63="K5"),"R2 tidak boleh K5; ","")&amp;IF(AND(AM63="R2",OR(AL63="S6",AL63="S7",AL63="S8")),"R2 tidak boleh S6/S7/S8; ","")&amp;IF(AND(AO63="P9",AN63&lt;&gt;"T17"),"P9 hanya dengan T17; ","")&amp;IF(AND(OR(AN63="T17",AO63="P9"),AM63&lt;&gt;"R0"),"T17/P9 harus R0; ","")&amp;IF(AND(AN63="T01",AO63&lt;&gt;"P6"),"T01 biasanya P6 (periksa); ","")&amp;IF(AND(AO63="P1",AQ63&lt;&gt;"K4"),"P1 biasanya K4 (periksa); ","")="","OK",IF(AND(AM63="R0",AQ63&lt;&gt;"K5"),"R0 harus K5; ","")&amp;IF(AND(AM63="R1",AQ63="K3"),"R1 tidak boleh K3 (fungsional); ","")&amp;IF(AND(AM63="R2",AQ63="K5"),"R2 tidak boleh K5; ","")&amp;IF(AND(AM63="R2",OR(AL63="S6",AL63="S7",AL63="S8")),"R2 tidak boleh S6/S7/S8; ","")&amp;IF(AND(AO63="P9",AN63&lt;&gt;"T17"),"P9 hanya dengan T17; ","")&amp;IF(AND(OR(AN63="T17",AO63="P9"),AM63&lt;&gt;"R0"),"T17/P9 harus R0; ","")&amp;IF(AND(AN63="T01",AO63&lt;&gt;"P6"),"T01 biasanya P6 (periksa); ","")&amp;IF(AND(AO63="P1",AQ63&lt;&gt;"K4"),"P1 biasanya K4 (periksa); ","")))</f>
        <v/>
      </c>
    </row>
    <row r="64" customFormat="false" ht="48" hidden="false" customHeight="true" outlineLevel="0" collapsed="false">
      <c r="A64" s="9" t="n">
        <v>61</v>
      </c>
      <c r="B64" s="10" t="str">
        <f aca="false">IF(INDEX(Korpus!$A:$A,$A64)="","",INDEX(Korpus!$A:$A,$A64))</f>
        <v/>
      </c>
      <c r="C64" s="10" t="str">
        <f aca="false">TRIM(INDEX(Korpus!$D:$D,$A64)&amp;" "&amp;INDEX(Korpus!$E:$E,$A64))</f>
        <v/>
      </c>
      <c r="D64" s="10" t="str">
        <f aca="false">IF(INDEX(Korpus!$B:$B,$A64)="","",INDEX(Korpus!$B:$B,$A64))</f>
        <v/>
      </c>
      <c r="E64" s="10" t="str">
        <f aca="false">IF(INDEX(Korpus!$C:$C,$A64)="","",INDEX(Korpus!$C:$C,$A64))</f>
        <v/>
      </c>
      <c r="F64" s="10" t="str">
        <f aca="false">IF(INDEX(Korpus!$F:$F,$A64)="","",INDEX(Korpus!$F:$F,$A64))</f>
        <v/>
      </c>
      <c r="G64" s="11"/>
      <c r="H64" s="11"/>
      <c r="I64" s="11"/>
      <c r="J64" s="11"/>
      <c r="K64" s="11"/>
      <c r="L64" s="11"/>
      <c r="M64" s="12"/>
      <c r="N64" s="12"/>
      <c r="O64" s="12"/>
      <c r="P64" s="12"/>
      <c r="Q64" s="12"/>
      <c r="R64" s="12"/>
      <c r="S64" s="13"/>
      <c r="T64" s="13"/>
      <c r="U64" s="13"/>
      <c r="V64" s="13"/>
      <c r="W64" s="13"/>
      <c r="X64" s="13"/>
      <c r="Y64" s="9" t="str">
        <f aca="false">IF(OR(M64="",S64=""),"",IF(M64=S64,"Sama","Beda"))</f>
        <v/>
      </c>
      <c r="Z64" s="9" t="str">
        <f aca="false">IF(OR(N64="",T64=""),"",IF(N64=T64,"Sama","Beda"))</f>
        <v/>
      </c>
      <c r="AA64" s="9" t="str">
        <f aca="false">IF(OR(O64="",U64=""),"",IF(O64=U64,"Sama","Beda"))</f>
        <v/>
      </c>
      <c r="AB64" s="9" t="str">
        <f aca="false">IF(OR(P64="",V64=""),"",IF(P64=V64,"Sama","Beda"))</f>
        <v/>
      </c>
      <c r="AC64" s="9" t="str">
        <f aca="false">IF(OR(Q64="",W64=""),"",IF(Q64=W64,"Sama","Beda"))</f>
        <v/>
      </c>
      <c r="AD64" s="9" t="str">
        <f aca="false">IF(OR(R64="",X64=""),"",IF(R64=X64,"Sama","Beda"))</f>
        <v/>
      </c>
      <c r="AE64" s="9" t="n">
        <f aca="false">COUNTIF(Y64:AD64,"Beda")</f>
        <v>0</v>
      </c>
      <c r="AF64" s="14"/>
      <c r="AG64" s="14"/>
      <c r="AH64" s="14"/>
      <c r="AI64" s="14"/>
      <c r="AJ64" s="14"/>
      <c r="AK64" s="14"/>
      <c r="AL64" s="15" t="str">
        <f aca="false">IF(AF64&lt;&gt;"",AF64,IF(AND(M64&lt;&gt;"",M64=S64),M64,""))</f>
        <v/>
      </c>
      <c r="AM64" s="15" t="str">
        <f aca="false">IF(AG64&lt;&gt;"",AG64,IF(AND(N64&lt;&gt;"",N64=T64),N64,""))</f>
        <v/>
      </c>
      <c r="AN64" s="15" t="str">
        <f aca="false">IF(AH64&lt;&gt;"",AH64,IF(AND(O64&lt;&gt;"",O64=U64),O64,""))</f>
        <v/>
      </c>
      <c r="AO64" s="15" t="str">
        <f aca="false">IF(AI64&lt;&gt;"",AI64,IF(AND(P64&lt;&gt;"",P64=V64),P64,""))</f>
        <v/>
      </c>
      <c r="AP64" s="15" t="str">
        <f aca="false">IF(AJ64&lt;&gt;"",AJ64,IF(AND(Q64&lt;&gt;"",Q64=W64),Q64,""))</f>
        <v/>
      </c>
      <c r="AQ64" s="15" t="str">
        <f aca="false">IF(AK64&lt;&gt;"",AK64,IF(AND(R64&lt;&gt;"",R64=X64),R64,""))</f>
        <v/>
      </c>
      <c r="AR64" s="16"/>
      <c r="AS64" s="9" t="str">
        <f aca="false">IF(COUNTA(M64:R64)+COUNTA(S64:X64)&lt;12,"Menunggu coder",IF(AE64=0,"Sepakat",IF(SUMPRODUCT((Y64:AD64="Beda")*(AF64:AK64=""))=0,"Selesai adjudikasi","Perlu adjudikasi")))</f>
        <v>Menunggu coder</v>
      </c>
      <c r="AT64" s="10" t="str">
        <f aca="false">IF(COUNTIF(AL64:AQ64,"?*")&lt;6,"",IF(IF(AND(AM64="R0",AQ64&lt;&gt;"K5"),"R0 harus K5; ","")&amp;IF(AND(AM64="R1",AQ64="K3"),"R1 tidak boleh K3 (fungsional); ","")&amp;IF(AND(AM64="R2",AQ64="K5"),"R2 tidak boleh K5; ","")&amp;IF(AND(AM64="R2",OR(AL64="S6",AL64="S7",AL64="S8")),"R2 tidak boleh S6/S7/S8; ","")&amp;IF(AND(AO64="P9",AN64&lt;&gt;"T17"),"P9 hanya dengan T17; ","")&amp;IF(AND(OR(AN64="T17",AO64="P9"),AM64&lt;&gt;"R0"),"T17/P9 harus R0; ","")&amp;IF(AND(AN64="T01",AO64&lt;&gt;"P6"),"T01 biasanya P6 (periksa); ","")&amp;IF(AND(AO64="P1",AQ64&lt;&gt;"K4"),"P1 biasanya K4 (periksa); ","")="","OK",IF(AND(AM64="R0",AQ64&lt;&gt;"K5"),"R0 harus K5; ","")&amp;IF(AND(AM64="R1",AQ64="K3"),"R1 tidak boleh K3 (fungsional); ","")&amp;IF(AND(AM64="R2",AQ64="K5"),"R2 tidak boleh K5; ","")&amp;IF(AND(AM64="R2",OR(AL64="S6",AL64="S7",AL64="S8")),"R2 tidak boleh S6/S7/S8; ","")&amp;IF(AND(AO64="P9",AN64&lt;&gt;"T17"),"P9 hanya dengan T17; ","")&amp;IF(AND(OR(AN64="T17",AO64="P9"),AM64&lt;&gt;"R0"),"T17/P9 harus R0; ","")&amp;IF(AND(AN64="T01",AO64&lt;&gt;"P6"),"T01 biasanya P6 (periksa); ","")&amp;IF(AND(AO64="P1",AQ64&lt;&gt;"K4"),"P1 biasanya K4 (periksa); ","")))</f>
        <v/>
      </c>
    </row>
    <row r="65" customFormat="false" ht="48" hidden="false" customHeight="true" outlineLevel="0" collapsed="false">
      <c r="A65" s="9" t="n">
        <v>62</v>
      </c>
      <c r="B65" s="10" t="str">
        <f aca="false">IF(INDEX(Korpus!$A:$A,$A65)="","",INDEX(Korpus!$A:$A,$A65))</f>
        <v/>
      </c>
      <c r="C65" s="10" t="str">
        <f aca="false">TRIM(INDEX(Korpus!$D:$D,$A65)&amp;" "&amp;INDEX(Korpus!$E:$E,$A65))</f>
        <v/>
      </c>
      <c r="D65" s="10" t="str">
        <f aca="false">IF(INDEX(Korpus!$B:$B,$A65)="","",INDEX(Korpus!$B:$B,$A65))</f>
        <v/>
      </c>
      <c r="E65" s="10" t="str">
        <f aca="false">IF(INDEX(Korpus!$C:$C,$A65)="","",INDEX(Korpus!$C:$C,$A65))</f>
        <v/>
      </c>
      <c r="F65" s="10" t="str">
        <f aca="false">IF(INDEX(Korpus!$F:$F,$A65)="","",INDEX(Korpus!$F:$F,$A65))</f>
        <v/>
      </c>
      <c r="G65" s="11" t="s">
        <v>108</v>
      </c>
      <c r="H65" s="11" t="s">
        <v>101</v>
      </c>
      <c r="I65" s="11" t="s">
        <v>92</v>
      </c>
      <c r="J65" s="11" t="s">
        <v>93</v>
      </c>
      <c r="K65" s="11" t="s">
        <v>109</v>
      </c>
      <c r="L65" s="11" t="s">
        <v>94</v>
      </c>
      <c r="M65" s="12"/>
      <c r="N65" s="12"/>
      <c r="O65" s="12"/>
      <c r="P65" s="12"/>
      <c r="Q65" s="12"/>
      <c r="R65" s="12"/>
      <c r="S65" s="13"/>
      <c r="T65" s="13"/>
      <c r="U65" s="13"/>
      <c r="V65" s="13"/>
      <c r="W65" s="13"/>
      <c r="X65" s="13"/>
      <c r="Y65" s="9" t="str">
        <f aca="false">IF(OR(M65="",S65=""),"",IF(M65=S65,"Sama","Beda"))</f>
        <v/>
      </c>
      <c r="Z65" s="9" t="str">
        <f aca="false">IF(OR(N65="",T65=""),"",IF(N65=T65,"Sama","Beda"))</f>
        <v/>
      </c>
      <c r="AA65" s="9" t="str">
        <f aca="false">IF(OR(O65="",U65=""),"",IF(O65=U65,"Sama","Beda"))</f>
        <v/>
      </c>
      <c r="AB65" s="9" t="str">
        <f aca="false">IF(OR(P65="",V65=""),"",IF(P65=V65,"Sama","Beda"))</f>
        <v/>
      </c>
      <c r="AC65" s="9" t="str">
        <f aca="false">IF(OR(Q65="",W65=""),"",IF(Q65=W65,"Sama","Beda"))</f>
        <v/>
      </c>
      <c r="AD65" s="9" t="str">
        <f aca="false">IF(OR(R65="",X65=""),"",IF(R65=X65,"Sama","Beda"))</f>
        <v/>
      </c>
      <c r="AE65" s="9" t="n">
        <f aca="false">COUNTIF(Y65:AD65,"Beda")</f>
        <v>0</v>
      </c>
      <c r="AF65" s="14"/>
      <c r="AG65" s="14"/>
      <c r="AH65" s="14"/>
      <c r="AI65" s="14"/>
      <c r="AJ65" s="14"/>
      <c r="AK65" s="14"/>
      <c r="AL65" s="15" t="str">
        <f aca="false">IF(AF65&lt;&gt;"",AF65,IF(AND(M65&lt;&gt;"",M65=S65),M65,""))</f>
        <v/>
      </c>
      <c r="AM65" s="15" t="str">
        <f aca="false">IF(AG65&lt;&gt;"",AG65,IF(AND(N65&lt;&gt;"",N65=T65),N65,""))</f>
        <v/>
      </c>
      <c r="AN65" s="15" t="str">
        <f aca="false">IF(AH65&lt;&gt;"",AH65,IF(AND(O65&lt;&gt;"",O65=U65),O65,""))</f>
        <v/>
      </c>
      <c r="AO65" s="15" t="str">
        <f aca="false">IF(AI65&lt;&gt;"",AI65,IF(AND(P65&lt;&gt;"",P65=V65),P65,""))</f>
        <v/>
      </c>
      <c r="AP65" s="15" t="str">
        <f aca="false">IF(AJ65&lt;&gt;"",AJ65,IF(AND(Q65&lt;&gt;"",Q65=W65),Q65,""))</f>
        <v/>
      </c>
      <c r="AQ65" s="15" t="str">
        <f aca="false">IF(AK65&lt;&gt;"",AK65,IF(AND(R65&lt;&gt;"",R65=X65),R65,""))</f>
        <v/>
      </c>
      <c r="AR65" s="16"/>
      <c r="AS65" s="9" t="str">
        <f aca="false">IF(COUNTA(M65:R65)+COUNTA(S65:X65)&lt;12,"Menunggu coder",IF(AE65=0,"Sepakat",IF(SUMPRODUCT((Y65:AD65="Beda")*(AF65:AK65=""))=0,"Selesai adjudikasi","Perlu adjudikasi")))</f>
        <v>Menunggu coder</v>
      </c>
      <c r="AT65" s="10" t="str">
        <f aca="false">IF(COUNTIF(AL65:AQ65,"?*")&lt;6,"",IF(IF(AND(AM65="R0",AQ65&lt;&gt;"K5"),"R0 harus K5; ","")&amp;IF(AND(AM65="R1",AQ65="K3"),"R1 tidak boleh K3 (fungsional); ","")&amp;IF(AND(AM65="R2",AQ65="K5"),"R2 tidak boleh K5; ","")&amp;IF(AND(AM65="R2",OR(AL65="S6",AL65="S7",AL65="S8")),"R2 tidak boleh S6/S7/S8; ","")&amp;IF(AND(AO65="P9",AN65&lt;&gt;"T17"),"P9 hanya dengan T17; ","")&amp;IF(AND(OR(AN65="T17",AO65="P9"),AM65&lt;&gt;"R0"),"T17/P9 harus R0; ","")&amp;IF(AND(AN65="T01",AO65&lt;&gt;"P6"),"T01 biasanya P6 (periksa); ","")&amp;IF(AND(AO65="P1",AQ65&lt;&gt;"K4"),"P1 biasanya K4 (periksa); ","")="","OK",IF(AND(AM65="R0",AQ65&lt;&gt;"K5"),"R0 harus K5; ","")&amp;IF(AND(AM65="R1",AQ65="K3"),"R1 tidak boleh K3 (fungsional); ","")&amp;IF(AND(AM65="R2",AQ65="K5"),"R2 tidak boleh K5; ","")&amp;IF(AND(AM65="R2",OR(AL65="S6",AL65="S7",AL65="S8")),"R2 tidak boleh S6/S7/S8; ","")&amp;IF(AND(AO65="P9",AN65&lt;&gt;"T17"),"P9 hanya dengan T17; ","")&amp;IF(AND(OR(AN65="T17",AO65="P9"),AM65&lt;&gt;"R0"),"T17/P9 harus R0; ","")&amp;IF(AND(AN65="T01",AO65&lt;&gt;"P6"),"T01 biasanya P6 (periksa); ","")&amp;IF(AND(AO65="P1",AQ65&lt;&gt;"K4"),"P1 biasanya K4 (periksa); ","")))</f>
        <v/>
      </c>
    </row>
    <row r="66" customFormat="false" ht="48" hidden="false" customHeight="true" outlineLevel="0" collapsed="false">
      <c r="A66" s="9" t="n">
        <v>63</v>
      </c>
      <c r="B66" s="10" t="str">
        <f aca="false">IF(INDEX(Korpus!$A:$A,$A66)="","",INDEX(Korpus!$A:$A,$A66))</f>
        <v/>
      </c>
      <c r="C66" s="10" t="str">
        <f aca="false">TRIM(INDEX(Korpus!$D:$D,$A66)&amp;" "&amp;INDEX(Korpus!$E:$E,$A66))</f>
        <v/>
      </c>
      <c r="D66" s="10" t="str">
        <f aca="false">IF(INDEX(Korpus!$B:$B,$A66)="","",INDEX(Korpus!$B:$B,$A66))</f>
        <v/>
      </c>
      <c r="E66" s="10" t="str">
        <f aca="false">IF(INDEX(Korpus!$C:$C,$A66)="","",INDEX(Korpus!$C:$C,$A66))</f>
        <v/>
      </c>
      <c r="F66" s="10" t="str">
        <f aca="false">IF(INDEX(Korpus!$F:$F,$A66)="","",INDEX(Korpus!$F:$F,$A66))</f>
        <v/>
      </c>
      <c r="G66" s="11"/>
      <c r="H66" s="11"/>
      <c r="I66" s="11"/>
      <c r="J66" s="11"/>
      <c r="K66" s="11"/>
      <c r="L66" s="11"/>
      <c r="M66" s="12"/>
      <c r="N66" s="12"/>
      <c r="O66" s="12"/>
      <c r="P66" s="12"/>
      <c r="Q66" s="12"/>
      <c r="R66" s="12"/>
      <c r="S66" s="13"/>
      <c r="T66" s="13"/>
      <c r="U66" s="13"/>
      <c r="V66" s="13"/>
      <c r="W66" s="13"/>
      <c r="X66" s="13"/>
      <c r="Y66" s="9" t="str">
        <f aca="false">IF(OR(M66="",S66=""),"",IF(M66=S66,"Sama","Beda"))</f>
        <v/>
      </c>
      <c r="Z66" s="9" t="str">
        <f aca="false">IF(OR(N66="",T66=""),"",IF(N66=T66,"Sama","Beda"))</f>
        <v/>
      </c>
      <c r="AA66" s="9" t="str">
        <f aca="false">IF(OR(O66="",U66=""),"",IF(O66=U66,"Sama","Beda"))</f>
        <v/>
      </c>
      <c r="AB66" s="9" t="str">
        <f aca="false">IF(OR(P66="",V66=""),"",IF(P66=V66,"Sama","Beda"))</f>
        <v/>
      </c>
      <c r="AC66" s="9" t="str">
        <f aca="false">IF(OR(Q66="",W66=""),"",IF(Q66=W66,"Sama","Beda"))</f>
        <v/>
      </c>
      <c r="AD66" s="9" t="str">
        <f aca="false">IF(OR(R66="",X66=""),"",IF(R66=X66,"Sama","Beda"))</f>
        <v/>
      </c>
      <c r="AE66" s="9" t="n">
        <f aca="false">COUNTIF(Y66:AD66,"Beda")</f>
        <v>0</v>
      </c>
      <c r="AF66" s="14"/>
      <c r="AG66" s="14"/>
      <c r="AH66" s="14"/>
      <c r="AI66" s="14"/>
      <c r="AJ66" s="14"/>
      <c r="AK66" s="14"/>
      <c r="AL66" s="15" t="str">
        <f aca="false">IF(AF66&lt;&gt;"",AF66,IF(AND(M66&lt;&gt;"",M66=S66),M66,""))</f>
        <v/>
      </c>
      <c r="AM66" s="15" t="str">
        <f aca="false">IF(AG66&lt;&gt;"",AG66,IF(AND(N66&lt;&gt;"",N66=T66),N66,""))</f>
        <v/>
      </c>
      <c r="AN66" s="15" t="str">
        <f aca="false">IF(AH66&lt;&gt;"",AH66,IF(AND(O66&lt;&gt;"",O66=U66),O66,""))</f>
        <v/>
      </c>
      <c r="AO66" s="15" t="str">
        <f aca="false">IF(AI66&lt;&gt;"",AI66,IF(AND(P66&lt;&gt;"",P66=V66),P66,""))</f>
        <v/>
      </c>
      <c r="AP66" s="15" t="str">
        <f aca="false">IF(AJ66&lt;&gt;"",AJ66,IF(AND(Q66&lt;&gt;"",Q66=W66),Q66,""))</f>
        <v/>
      </c>
      <c r="AQ66" s="15" t="str">
        <f aca="false">IF(AK66&lt;&gt;"",AK66,IF(AND(R66&lt;&gt;"",R66=X66),R66,""))</f>
        <v/>
      </c>
      <c r="AR66" s="16"/>
      <c r="AS66" s="9" t="str">
        <f aca="false">IF(COUNTA(M66:R66)+COUNTA(S66:X66)&lt;12,"Menunggu coder",IF(AE66=0,"Sepakat",IF(SUMPRODUCT((Y66:AD66="Beda")*(AF66:AK66=""))=0,"Selesai adjudikasi","Perlu adjudikasi")))</f>
        <v>Menunggu coder</v>
      </c>
      <c r="AT66" s="10" t="str">
        <f aca="false">IF(COUNTIF(AL66:AQ66,"?*")&lt;6,"",IF(IF(AND(AM66="R0",AQ66&lt;&gt;"K5"),"R0 harus K5; ","")&amp;IF(AND(AM66="R1",AQ66="K3"),"R1 tidak boleh K3 (fungsional); ","")&amp;IF(AND(AM66="R2",AQ66="K5"),"R2 tidak boleh K5; ","")&amp;IF(AND(AM66="R2",OR(AL66="S6",AL66="S7",AL66="S8")),"R2 tidak boleh S6/S7/S8; ","")&amp;IF(AND(AO66="P9",AN66&lt;&gt;"T17"),"P9 hanya dengan T17; ","")&amp;IF(AND(OR(AN66="T17",AO66="P9"),AM66&lt;&gt;"R0"),"T17/P9 harus R0; ","")&amp;IF(AND(AN66="T01",AO66&lt;&gt;"P6"),"T01 biasanya P6 (periksa); ","")&amp;IF(AND(AO66="P1",AQ66&lt;&gt;"K4"),"P1 biasanya K4 (periksa); ","")="","OK",IF(AND(AM66="R0",AQ66&lt;&gt;"K5"),"R0 harus K5; ","")&amp;IF(AND(AM66="R1",AQ66="K3"),"R1 tidak boleh K3 (fungsional); ","")&amp;IF(AND(AM66="R2",AQ66="K5"),"R2 tidak boleh K5; ","")&amp;IF(AND(AM66="R2",OR(AL66="S6",AL66="S7",AL66="S8")),"R2 tidak boleh S6/S7/S8; ","")&amp;IF(AND(AO66="P9",AN66&lt;&gt;"T17"),"P9 hanya dengan T17; ","")&amp;IF(AND(OR(AN66="T17",AO66="P9"),AM66&lt;&gt;"R0"),"T17/P9 harus R0; ","")&amp;IF(AND(AN66="T01",AO66&lt;&gt;"P6"),"T01 biasanya P6 (periksa); ","")&amp;IF(AND(AO66="P1",AQ66&lt;&gt;"K4"),"P1 biasanya K4 (periksa); ","")))</f>
        <v/>
      </c>
    </row>
    <row r="67" customFormat="false" ht="48" hidden="false" customHeight="true" outlineLevel="0" collapsed="false">
      <c r="A67" s="9" t="n">
        <v>64</v>
      </c>
      <c r="B67" s="10" t="str">
        <f aca="false">IF(INDEX(Korpus!$A:$A,$A67)="","",INDEX(Korpus!$A:$A,$A67))</f>
        <v/>
      </c>
      <c r="C67" s="10" t="str">
        <f aca="false">TRIM(INDEX(Korpus!$D:$D,$A67)&amp;" "&amp;INDEX(Korpus!$E:$E,$A67))</f>
        <v/>
      </c>
      <c r="D67" s="10" t="str">
        <f aca="false">IF(INDEX(Korpus!$B:$B,$A67)="","",INDEX(Korpus!$B:$B,$A67))</f>
        <v/>
      </c>
      <c r="E67" s="10" t="str">
        <f aca="false">IF(INDEX(Korpus!$C:$C,$A67)="","",INDEX(Korpus!$C:$C,$A67))</f>
        <v/>
      </c>
      <c r="F67" s="10" t="str">
        <f aca="false">IF(INDEX(Korpus!$F:$F,$A67)="","",INDEX(Korpus!$F:$F,$A67))</f>
        <v/>
      </c>
      <c r="G67" s="11"/>
      <c r="H67" s="11"/>
      <c r="I67" s="11"/>
      <c r="J67" s="11"/>
      <c r="K67" s="11"/>
      <c r="L67" s="11"/>
      <c r="M67" s="12"/>
      <c r="N67" s="12"/>
      <c r="O67" s="12"/>
      <c r="P67" s="12"/>
      <c r="Q67" s="12"/>
      <c r="R67" s="12"/>
      <c r="S67" s="13"/>
      <c r="T67" s="13"/>
      <c r="U67" s="13"/>
      <c r="V67" s="13"/>
      <c r="W67" s="13"/>
      <c r="X67" s="13"/>
      <c r="Y67" s="9" t="str">
        <f aca="false">IF(OR(M67="",S67=""),"",IF(M67=S67,"Sama","Beda"))</f>
        <v/>
      </c>
      <c r="Z67" s="9" t="str">
        <f aca="false">IF(OR(N67="",T67=""),"",IF(N67=T67,"Sama","Beda"))</f>
        <v/>
      </c>
      <c r="AA67" s="9" t="str">
        <f aca="false">IF(OR(O67="",U67=""),"",IF(O67=U67,"Sama","Beda"))</f>
        <v/>
      </c>
      <c r="AB67" s="9" t="str">
        <f aca="false">IF(OR(P67="",V67=""),"",IF(P67=V67,"Sama","Beda"))</f>
        <v/>
      </c>
      <c r="AC67" s="9" t="str">
        <f aca="false">IF(OR(Q67="",W67=""),"",IF(Q67=W67,"Sama","Beda"))</f>
        <v/>
      </c>
      <c r="AD67" s="9" t="str">
        <f aca="false">IF(OR(R67="",X67=""),"",IF(R67=X67,"Sama","Beda"))</f>
        <v/>
      </c>
      <c r="AE67" s="9" t="n">
        <f aca="false">COUNTIF(Y67:AD67,"Beda")</f>
        <v>0</v>
      </c>
      <c r="AF67" s="14"/>
      <c r="AG67" s="14"/>
      <c r="AH67" s="14"/>
      <c r="AI67" s="14"/>
      <c r="AJ67" s="14"/>
      <c r="AK67" s="14"/>
      <c r="AL67" s="15" t="str">
        <f aca="false">IF(AF67&lt;&gt;"",AF67,IF(AND(M67&lt;&gt;"",M67=S67),M67,""))</f>
        <v/>
      </c>
      <c r="AM67" s="15" t="str">
        <f aca="false">IF(AG67&lt;&gt;"",AG67,IF(AND(N67&lt;&gt;"",N67=T67),N67,""))</f>
        <v/>
      </c>
      <c r="AN67" s="15" t="str">
        <f aca="false">IF(AH67&lt;&gt;"",AH67,IF(AND(O67&lt;&gt;"",O67=U67),O67,""))</f>
        <v/>
      </c>
      <c r="AO67" s="15" t="str">
        <f aca="false">IF(AI67&lt;&gt;"",AI67,IF(AND(P67&lt;&gt;"",P67=V67),P67,""))</f>
        <v/>
      </c>
      <c r="AP67" s="15" t="str">
        <f aca="false">IF(AJ67&lt;&gt;"",AJ67,IF(AND(Q67&lt;&gt;"",Q67=W67),Q67,""))</f>
        <v/>
      </c>
      <c r="AQ67" s="15" t="str">
        <f aca="false">IF(AK67&lt;&gt;"",AK67,IF(AND(R67&lt;&gt;"",R67=X67),R67,""))</f>
        <v/>
      </c>
      <c r="AR67" s="16"/>
      <c r="AS67" s="9" t="str">
        <f aca="false">IF(COUNTA(M67:R67)+COUNTA(S67:X67)&lt;12,"Menunggu coder",IF(AE67=0,"Sepakat",IF(SUMPRODUCT((Y67:AD67="Beda")*(AF67:AK67=""))=0,"Selesai adjudikasi","Perlu adjudikasi")))</f>
        <v>Menunggu coder</v>
      </c>
      <c r="AT67" s="10" t="str">
        <f aca="false">IF(COUNTIF(AL67:AQ67,"?*")&lt;6,"",IF(IF(AND(AM67="R0",AQ67&lt;&gt;"K5"),"R0 harus K5; ","")&amp;IF(AND(AM67="R1",AQ67="K3"),"R1 tidak boleh K3 (fungsional); ","")&amp;IF(AND(AM67="R2",AQ67="K5"),"R2 tidak boleh K5; ","")&amp;IF(AND(AM67="R2",OR(AL67="S6",AL67="S7",AL67="S8")),"R2 tidak boleh S6/S7/S8; ","")&amp;IF(AND(AO67="P9",AN67&lt;&gt;"T17"),"P9 hanya dengan T17; ","")&amp;IF(AND(OR(AN67="T17",AO67="P9"),AM67&lt;&gt;"R0"),"T17/P9 harus R0; ","")&amp;IF(AND(AN67="T01",AO67&lt;&gt;"P6"),"T01 biasanya P6 (periksa); ","")&amp;IF(AND(AO67="P1",AQ67&lt;&gt;"K4"),"P1 biasanya K4 (periksa); ","")="","OK",IF(AND(AM67="R0",AQ67&lt;&gt;"K5"),"R0 harus K5; ","")&amp;IF(AND(AM67="R1",AQ67="K3"),"R1 tidak boleh K3 (fungsional); ","")&amp;IF(AND(AM67="R2",AQ67="K5"),"R2 tidak boleh K5; ","")&amp;IF(AND(AM67="R2",OR(AL67="S6",AL67="S7",AL67="S8")),"R2 tidak boleh S6/S7/S8; ","")&amp;IF(AND(AO67="P9",AN67&lt;&gt;"T17"),"P9 hanya dengan T17; ","")&amp;IF(AND(OR(AN67="T17",AO67="P9"),AM67&lt;&gt;"R0"),"T17/P9 harus R0; ","")&amp;IF(AND(AN67="T01",AO67&lt;&gt;"P6"),"T01 biasanya P6 (periksa); ","")&amp;IF(AND(AO67="P1",AQ67&lt;&gt;"K4"),"P1 biasanya K4 (periksa); ","")))</f>
        <v/>
      </c>
    </row>
    <row r="68" customFormat="false" ht="48" hidden="false" customHeight="true" outlineLevel="0" collapsed="false">
      <c r="A68" s="9" t="n">
        <v>65</v>
      </c>
      <c r="B68" s="10" t="str">
        <f aca="false">IF(INDEX(Korpus!$A:$A,$A68)="","",INDEX(Korpus!$A:$A,$A68))</f>
        <v/>
      </c>
      <c r="C68" s="10" t="str">
        <f aca="false">TRIM(INDEX(Korpus!$D:$D,$A68)&amp;" "&amp;INDEX(Korpus!$E:$E,$A68))</f>
        <v/>
      </c>
      <c r="D68" s="10" t="str">
        <f aca="false">IF(INDEX(Korpus!$B:$B,$A68)="","",INDEX(Korpus!$B:$B,$A68))</f>
        <v/>
      </c>
      <c r="E68" s="10" t="str">
        <f aca="false">IF(INDEX(Korpus!$C:$C,$A68)="","",INDEX(Korpus!$C:$C,$A68))</f>
        <v/>
      </c>
      <c r="F68" s="10" t="str">
        <f aca="false">IF(INDEX(Korpus!$F:$F,$A68)="","",INDEX(Korpus!$F:$F,$A68))</f>
        <v/>
      </c>
      <c r="G68" s="11"/>
      <c r="H68" s="11"/>
      <c r="I68" s="11"/>
      <c r="J68" s="11"/>
      <c r="K68" s="11"/>
      <c r="L68" s="11"/>
      <c r="M68" s="12"/>
      <c r="N68" s="12"/>
      <c r="O68" s="12"/>
      <c r="P68" s="12"/>
      <c r="Q68" s="12"/>
      <c r="R68" s="12"/>
      <c r="S68" s="13"/>
      <c r="T68" s="13"/>
      <c r="U68" s="13"/>
      <c r="V68" s="13"/>
      <c r="W68" s="13"/>
      <c r="X68" s="13"/>
      <c r="Y68" s="9" t="str">
        <f aca="false">IF(OR(M68="",S68=""),"",IF(M68=S68,"Sama","Beda"))</f>
        <v/>
      </c>
      <c r="Z68" s="9" t="str">
        <f aca="false">IF(OR(N68="",T68=""),"",IF(N68=T68,"Sama","Beda"))</f>
        <v/>
      </c>
      <c r="AA68" s="9" t="str">
        <f aca="false">IF(OR(O68="",U68=""),"",IF(O68=U68,"Sama","Beda"))</f>
        <v/>
      </c>
      <c r="AB68" s="9" t="str">
        <f aca="false">IF(OR(P68="",V68=""),"",IF(P68=V68,"Sama","Beda"))</f>
        <v/>
      </c>
      <c r="AC68" s="9" t="str">
        <f aca="false">IF(OR(Q68="",W68=""),"",IF(Q68=W68,"Sama","Beda"))</f>
        <v/>
      </c>
      <c r="AD68" s="9" t="str">
        <f aca="false">IF(OR(R68="",X68=""),"",IF(R68=X68,"Sama","Beda"))</f>
        <v/>
      </c>
      <c r="AE68" s="9" t="n">
        <f aca="false">COUNTIF(Y68:AD68,"Beda")</f>
        <v>0</v>
      </c>
      <c r="AF68" s="14"/>
      <c r="AG68" s="14"/>
      <c r="AH68" s="14"/>
      <c r="AI68" s="14"/>
      <c r="AJ68" s="14"/>
      <c r="AK68" s="14"/>
      <c r="AL68" s="15" t="str">
        <f aca="false">IF(AF68&lt;&gt;"",AF68,IF(AND(M68&lt;&gt;"",M68=S68),M68,""))</f>
        <v/>
      </c>
      <c r="AM68" s="15" t="str">
        <f aca="false">IF(AG68&lt;&gt;"",AG68,IF(AND(N68&lt;&gt;"",N68=T68),N68,""))</f>
        <v/>
      </c>
      <c r="AN68" s="15" t="str">
        <f aca="false">IF(AH68&lt;&gt;"",AH68,IF(AND(O68&lt;&gt;"",O68=U68),O68,""))</f>
        <v/>
      </c>
      <c r="AO68" s="15" t="str">
        <f aca="false">IF(AI68&lt;&gt;"",AI68,IF(AND(P68&lt;&gt;"",P68=V68),P68,""))</f>
        <v/>
      </c>
      <c r="AP68" s="15" t="str">
        <f aca="false">IF(AJ68&lt;&gt;"",AJ68,IF(AND(Q68&lt;&gt;"",Q68=W68),Q68,""))</f>
        <v/>
      </c>
      <c r="AQ68" s="15" t="str">
        <f aca="false">IF(AK68&lt;&gt;"",AK68,IF(AND(R68&lt;&gt;"",R68=X68),R68,""))</f>
        <v/>
      </c>
      <c r="AR68" s="16"/>
      <c r="AS68" s="9" t="str">
        <f aca="false">IF(COUNTA(M68:R68)+COUNTA(S68:X68)&lt;12,"Menunggu coder",IF(AE68=0,"Sepakat",IF(SUMPRODUCT((Y68:AD68="Beda")*(AF68:AK68=""))=0,"Selesai adjudikasi","Perlu adjudikasi")))</f>
        <v>Menunggu coder</v>
      </c>
      <c r="AT68" s="10" t="str">
        <f aca="false">IF(COUNTIF(AL68:AQ68,"?*")&lt;6,"",IF(IF(AND(AM68="R0",AQ68&lt;&gt;"K5"),"R0 harus K5; ","")&amp;IF(AND(AM68="R1",AQ68="K3"),"R1 tidak boleh K3 (fungsional); ","")&amp;IF(AND(AM68="R2",AQ68="K5"),"R2 tidak boleh K5; ","")&amp;IF(AND(AM68="R2",OR(AL68="S6",AL68="S7",AL68="S8")),"R2 tidak boleh S6/S7/S8; ","")&amp;IF(AND(AO68="P9",AN68&lt;&gt;"T17"),"P9 hanya dengan T17; ","")&amp;IF(AND(OR(AN68="T17",AO68="P9"),AM68&lt;&gt;"R0"),"T17/P9 harus R0; ","")&amp;IF(AND(AN68="T01",AO68&lt;&gt;"P6"),"T01 biasanya P6 (periksa); ","")&amp;IF(AND(AO68="P1",AQ68&lt;&gt;"K4"),"P1 biasanya K4 (periksa); ","")="","OK",IF(AND(AM68="R0",AQ68&lt;&gt;"K5"),"R0 harus K5; ","")&amp;IF(AND(AM68="R1",AQ68="K3"),"R1 tidak boleh K3 (fungsional); ","")&amp;IF(AND(AM68="R2",AQ68="K5"),"R2 tidak boleh K5; ","")&amp;IF(AND(AM68="R2",OR(AL68="S6",AL68="S7",AL68="S8")),"R2 tidak boleh S6/S7/S8; ","")&amp;IF(AND(AO68="P9",AN68&lt;&gt;"T17"),"P9 hanya dengan T17; ","")&amp;IF(AND(OR(AN68="T17",AO68="P9"),AM68&lt;&gt;"R0"),"T17/P9 harus R0; ","")&amp;IF(AND(AN68="T01",AO68&lt;&gt;"P6"),"T01 biasanya P6 (periksa); ","")&amp;IF(AND(AO68="P1",AQ68&lt;&gt;"K4"),"P1 biasanya K4 (periksa); ","")))</f>
        <v/>
      </c>
    </row>
    <row r="69" customFormat="false" ht="48" hidden="false" customHeight="true" outlineLevel="0" collapsed="false">
      <c r="A69" s="9" t="n">
        <v>66</v>
      </c>
      <c r="B69" s="10" t="str">
        <f aca="false">IF(INDEX(Korpus!$A:$A,$A69)="","",INDEX(Korpus!$A:$A,$A69))</f>
        <v/>
      </c>
      <c r="C69" s="10" t="str">
        <f aca="false">TRIM(INDEX(Korpus!$D:$D,$A69)&amp;" "&amp;INDEX(Korpus!$E:$E,$A69))</f>
        <v/>
      </c>
      <c r="D69" s="10" t="str">
        <f aca="false">IF(INDEX(Korpus!$B:$B,$A69)="","",INDEX(Korpus!$B:$B,$A69))</f>
        <v/>
      </c>
      <c r="E69" s="10" t="str">
        <f aca="false">IF(INDEX(Korpus!$C:$C,$A69)="","",INDEX(Korpus!$C:$C,$A69))</f>
        <v/>
      </c>
      <c r="F69" s="10" t="str">
        <f aca="false">IF(INDEX(Korpus!$F:$F,$A69)="","",INDEX(Korpus!$F:$F,$A69))</f>
        <v/>
      </c>
      <c r="G69" s="11"/>
      <c r="H69" s="11"/>
      <c r="I69" s="11"/>
      <c r="J69" s="11"/>
      <c r="K69" s="11"/>
      <c r="L69" s="11"/>
      <c r="M69" s="12"/>
      <c r="N69" s="12"/>
      <c r="O69" s="12"/>
      <c r="P69" s="12"/>
      <c r="Q69" s="12"/>
      <c r="R69" s="12"/>
      <c r="S69" s="13"/>
      <c r="T69" s="13"/>
      <c r="U69" s="13"/>
      <c r="V69" s="13"/>
      <c r="W69" s="13"/>
      <c r="X69" s="13"/>
      <c r="Y69" s="9" t="str">
        <f aca="false">IF(OR(M69="",S69=""),"",IF(M69=S69,"Sama","Beda"))</f>
        <v/>
      </c>
      <c r="Z69" s="9" t="str">
        <f aca="false">IF(OR(N69="",T69=""),"",IF(N69=T69,"Sama","Beda"))</f>
        <v/>
      </c>
      <c r="AA69" s="9" t="str">
        <f aca="false">IF(OR(O69="",U69=""),"",IF(O69=U69,"Sama","Beda"))</f>
        <v/>
      </c>
      <c r="AB69" s="9" t="str">
        <f aca="false">IF(OR(P69="",V69=""),"",IF(P69=V69,"Sama","Beda"))</f>
        <v/>
      </c>
      <c r="AC69" s="9" t="str">
        <f aca="false">IF(OR(Q69="",W69=""),"",IF(Q69=W69,"Sama","Beda"))</f>
        <v/>
      </c>
      <c r="AD69" s="9" t="str">
        <f aca="false">IF(OR(R69="",X69=""),"",IF(R69=X69,"Sama","Beda"))</f>
        <v/>
      </c>
      <c r="AE69" s="9" t="n">
        <f aca="false">COUNTIF(Y69:AD69,"Beda")</f>
        <v>0</v>
      </c>
      <c r="AF69" s="14"/>
      <c r="AG69" s="14"/>
      <c r="AH69" s="14"/>
      <c r="AI69" s="14"/>
      <c r="AJ69" s="14"/>
      <c r="AK69" s="14"/>
      <c r="AL69" s="15" t="str">
        <f aca="false">IF(AF69&lt;&gt;"",AF69,IF(AND(M69&lt;&gt;"",M69=S69),M69,""))</f>
        <v/>
      </c>
      <c r="AM69" s="15" t="str">
        <f aca="false">IF(AG69&lt;&gt;"",AG69,IF(AND(N69&lt;&gt;"",N69=T69),N69,""))</f>
        <v/>
      </c>
      <c r="AN69" s="15" t="str">
        <f aca="false">IF(AH69&lt;&gt;"",AH69,IF(AND(O69&lt;&gt;"",O69=U69),O69,""))</f>
        <v/>
      </c>
      <c r="AO69" s="15" t="str">
        <f aca="false">IF(AI69&lt;&gt;"",AI69,IF(AND(P69&lt;&gt;"",P69=V69),P69,""))</f>
        <v/>
      </c>
      <c r="AP69" s="15" t="str">
        <f aca="false">IF(AJ69&lt;&gt;"",AJ69,IF(AND(Q69&lt;&gt;"",Q69=W69),Q69,""))</f>
        <v/>
      </c>
      <c r="AQ69" s="15" t="str">
        <f aca="false">IF(AK69&lt;&gt;"",AK69,IF(AND(R69&lt;&gt;"",R69=X69),R69,""))</f>
        <v/>
      </c>
      <c r="AR69" s="16"/>
      <c r="AS69" s="9" t="str">
        <f aca="false">IF(COUNTA(M69:R69)+COUNTA(S69:X69)&lt;12,"Menunggu coder",IF(AE69=0,"Sepakat",IF(SUMPRODUCT((Y69:AD69="Beda")*(AF69:AK69=""))=0,"Selesai adjudikasi","Perlu adjudikasi")))</f>
        <v>Menunggu coder</v>
      </c>
      <c r="AT69" s="10" t="str">
        <f aca="false">IF(COUNTIF(AL69:AQ69,"?*")&lt;6,"",IF(IF(AND(AM69="R0",AQ69&lt;&gt;"K5"),"R0 harus K5; ","")&amp;IF(AND(AM69="R1",AQ69="K3"),"R1 tidak boleh K3 (fungsional); ","")&amp;IF(AND(AM69="R2",AQ69="K5"),"R2 tidak boleh K5; ","")&amp;IF(AND(AM69="R2",OR(AL69="S6",AL69="S7",AL69="S8")),"R2 tidak boleh S6/S7/S8; ","")&amp;IF(AND(AO69="P9",AN69&lt;&gt;"T17"),"P9 hanya dengan T17; ","")&amp;IF(AND(OR(AN69="T17",AO69="P9"),AM69&lt;&gt;"R0"),"T17/P9 harus R0; ","")&amp;IF(AND(AN69="T01",AO69&lt;&gt;"P6"),"T01 biasanya P6 (periksa); ","")&amp;IF(AND(AO69="P1",AQ69&lt;&gt;"K4"),"P1 biasanya K4 (periksa); ","")="","OK",IF(AND(AM69="R0",AQ69&lt;&gt;"K5"),"R0 harus K5; ","")&amp;IF(AND(AM69="R1",AQ69="K3"),"R1 tidak boleh K3 (fungsional); ","")&amp;IF(AND(AM69="R2",AQ69="K5"),"R2 tidak boleh K5; ","")&amp;IF(AND(AM69="R2",OR(AL69="S6",AL69="S7",AL69="S8")),"R2 tidak boleh S6/S7/S8; ","")&amp;IF(AND(AO69="P9",AN69&lt;&gt;"T17"),"P9 hanya dengan T17; ","")&amp;IF(AND(OR(AN69="T17",AO69="P9"),AM69&lt;&gt;"R0"),"T17/P9 harus R0; ","")&amp;IF(AND(AN69="T01",AO69&lt;&gt;"P6"),"T01 biasanya P6 (periksa); ","")&amp;IF(AND(AO69="P1",AQ69&lt;&gt;"K4"),"P1 biasanya K4 (periksa); ","")))</f>
        <v/>
      </c>
    </row>
    <row r="70" customFormat="false" ht="48" hidden="false" customHeight="true" outlineLevel="0" collapsed="false">
      <c r="A70" s="9" t="n">
        <v>67</v>
      </c>
      <c r="B70" s="10" t="str">
        <f aca="false">IF(INDEX(Korpus!$A:$A,$A70)="","",INDEX(Korpus!$A:$A,$A70))</f>
        <v/>
      </c>
      <c r="C70" s="10" t="str">
        <f aca="false">TRIM(INDEX(Korpus!$D:$D,$A70)&amp;" "&amp;INDEX(Korpus!$E:$E,$A70))</f>
        <v/>
      </c>
      <c r="D70" s="10" t="str">
        <f aca="false">IF(INDEX(Korpus!$B:$B,$A70)="","",INDEX(Korpus!$B:$B,$A70))</f>
        <v/>
      </c>
      <c r="E70" s="10" t="str">
        <f aca="false">IF(INDEX(Korpus!$C:$C,$A70)="","",INDEX(Korpus!$C:$C,$A70))</f>
        <v/>
      </c>
      <c r="F70" s="10" t="str">
        <f aca="false">IF(INDEX(Korpus!$F:$F,$A70)="","",INDEX(Korpus!$F:$F,$A70))</f>
        <v/>
      </c>
      <c r="G70" s="11" t="s">
        <v>108</v>
      </c>
      <c r="H70" s="11" t="s">
        <v>101</v>
      </c>
      <c r="I70" s="11" t="s">
        <v>110</v>
      </c>
      <c r="J70" s="11" t="s">
        <v>93</v>
      </c>
      <c r="K70" s="11" t="s">
        <v>111</v>
      </c>
      <c r="L70" s="11" t="s">
        <v>105</v>
      </c>
      <c r="M70" s="12"/>
      <c r="N70" s="12"/>
      <c r="O70" s="12"/>
      <c r="P70" s="12"/>
      <c r="Q70" s="12"/>
      <c r="R70" s="12"/>
      <c r="S70" s="13"/>
      <c r="T70" s="13"/>
      <c r="U70" s="13"/>
      <c r="V70" s="13"/>
      <c r="W70" s="13"/>
      <c r="X70" s="13"/>
      <c r="Y70" s="9" t="str">
        <f aca="false">IF(OR(M70="",S70=""),"",IF(M70=S70,"Sama","Beda"))</f>
        <v/>
      </c>
      <c r="Z70" s="9" t="str">
        <f aca="false">IF(OR(N70="",T70=""),"",IF(N70=T70,"Sama","Beda"))</f>
        <v/>
      </c>
      <c r="AA70" s="9" t="str">
        <f aca="false">IF(OR(O70="",U70=""),"",IF(O70=U70,"Sama","Beda"))</f>
        <v/>
      </c>
      <c r="AB70" s="9" t="str">
        <f aca="false">IF(OR(P70="",V70=""),"",IF(P70=V70,"Sama","Beda"))</f>
        <v/>
      </c>
      <c r="AC70" s="9" t="str">
        <f aca="false">IF(OR(Q70="",W70=""),"",IF(Q70=W70,"Sama","Beda"))</f>
        <v/>
      </c>
      <c r="AD70" s="9" t="str">
        <f aca="false">IF(OR(R70="",X70=""),"",IF(R70=X70,"Sama","Beda"))</f>
        <v/>
      </c>
      <c r="AE70" s="9" t="n">
        <f aca="false">COUNTIF(Y70:AD70,"Beda")</f>
        <v>0</v>
      </c>
      <c r="AF70" s="14"/>
      <c r="AG70" s="14"/>
      <c r="AH70" s="14"/>
      <c r="AI70" s="14"/>
      <c r="AJ70" s="14"/>
      <c r="AK70" s="14"/>
      <c r="AL70" s="15" t="str">
        <f aca="false">IF(AF70&lt;&gt;"",AF70,IF(AND(M70&lt;&gt;"",M70=S70),M70,""))</f>
        <v/>
      </c>
      <c r="AM70" s="15" t="str">
        <f aca="false">IF(AG70&lt;&gt;"",AG70,IF(AND(N70&lt;&gt;"",N70=T70),N70,""))</f>
        <v/>
      </c>
      <c r="AN70" s="15" t="str">
        <f aca="false">IF(AH70&lt;&gt;"",AH70,IF(AND(O70&lt;&gt;"",O70=U70),O70,""))</f>
        <v/>
      </c>
      <c r="AO70" s="15" t="str">
        <f aca="false">IF(AI70&lt;&gt;"",AI70,IF(AND(P70&lt;&gt;"",P70=V70),P70,""))</f>
        <v/>
      </c>
      <c r="AP70" s="15" t="str">
        <f aca="false">IF(AJ70&lt;&gt;"",AJ70,IF(AND(Q70&lt;&gt;"",Q70=W70),Q70,""))</f>
        <v/>
      </c>
      <c r="AQ70" s="15" t="str">
        <f aca="false">IF(AK70&lt;&gt;"",AK70,IF(AND(R70&lt;&gt;"",R70=X70),R70,""))</f>
        <v/>
      </c>
      <c r="AR70" s="16"/>
      <c r="AS70" s="9" t="str">
        <f aca="false">IF(COUNTA(M70:R70)+COUNTA(S70:X70)&lt;12,"Menunggu coder",IF(AE70=0,"Sepakat",IF(SUMPRODUCT((Y70:AD70="Beda")*(AF70:AK70=""))=0,"Selesai adjudikasi","Perlu adjudikasi")))</f>
        <v>Menunggu coder</v>
      </c>
      <c r="AT70" s="10" t="str">
        <f aca="false">IF(COUNTIF(AL70:AQ70,"?*")&lt;6,"",IF(IF(AND(AM70="R0",AQ70&lt;&gt;"K5"),"R0 harus K5; ","")&amp;IF(AND(AM70="R1",AQ70="K3"),"R1 tidak boleh K3 (fungsional); ","")&amp;IF(AND(AM70="R2",AQ70="K5"),"R2 tidak boleh K5; ","")&amp;IF(AND(AM70="R2",OR(AL70="S6",AL70="S7",AL70="S8")),"R2 tidak boleh S6/S7/S8; ","")&amp;IF(AND(AO70="P9",AN70&lt;&gt;"T17"),"P9 hanya dengan T17; ","")&amp;IF(AND(OR(AN70="T17",AO70="P9"),AM70&lt;&gt;"R0"),"T17/P9 harus R0; ","")&amp;IF(AND(AN70="T01",AO70&lt;&gt;"P6"),"T01 biasanya P6 (periksa); ","")&amp;IF(AND(AO70="P1",AQ70&lt;&gt;"K4"),"P1 biasanya K4 (periksa); ","")="","OK",IF(AND(AM70="R0",AQ70&lt;&gt;"K5"),"R0 harus K5; ","")&amp;IF(AND(AM70="R1",AQ70="K3"),"R1 tidak boleh K3 (fungsional); ","")&amp;IF(AND(AM70="R2",AQ70="K5"),"R2 tidak boleh K5; ","")&amp;IF(AND(AM70="R2",OR(AL70="S6",AL70="S7",AL70="S8")),"R2 tidak boleh S6/S7/S8; ","")&amp;IF(AND(AO70="P9",AN70&lt;&gt;"T17"),"P9 hanya dengan T17; ","")&amp;IF(AND(OR(AN70="T17",AO70="P9"),AM70&lt;&gt;"R0"),"T17/P9 harus R0; ","")&amp;IF(AND(AN70="T01",AO70&lt;&gt;"P6"),"T01 biasanya P6 (periksa); ","")&amp;IF(AND(AO70="P1",AQ70&lt;&gt;"K4"),"P1 biasanya K4 (periksa); ","")))</f>
        <v/>
      </c>
    </row>
    <row r="71" customFormat="false" ht="48" hidden="false" customHeight="true" outlineLevel="0" collapsed="false">
      <c r="A71" s="9" t="n">
        <v>68</v>
      </c>
      <c r="B71" s="10" t="str">
        <f aca="false">IF(INDEX(Korpus!$A:$A,$A71)="","",INDEX(Korpus!$A:$A,$A71))</f>
        <v/>
      </c>
      <c r="C71" s="10" t="str">
        <f aca="false">TRIM(INDEX(Korpus!$D:$D,$A71)&amp;" "&amp;INDEX(Korpus!$E:$E,$A71))</f>
        <v/>
      </c>
      <c r="D71" s="10" t="str">
        <f aca="false">IF(INDEX(Korpus!$B:$B,$A71)="","",INDEX(Korpus!$B:$B,$A71))</f>
        <v/>
      </c>
      <c r="E71" s="10" t="str">
        <f aca="false">IF(INDEX(Korpus!$C:$C,$A71)="","",INDEX(Korpus!$C:$C,$A71))</f>
        <v/>
      </c>
      <c r="F71" s="10" t="str">
        <f aca="false">IF(INDEX(Korpus!$F:$F,$A71)="","",INDEX(Korpus!$F:$F,$A71))</f>
        <v/>
      </c>
      <c r="G71" s="11"/>
      <c r="H71" s="11"/>
      <c r="I71" s="11"/>
      <c r="J71" s="11"/>
      <c r="K71" s="11"/>
      <c r="L71" s="11"/>
      <c r="M71" s="12"/>
      <c r="N71" s="12"/>
      <c r="O71" s="12"/>
      <c r="P71" s="12"/>
      <c r="Q71" s="12"/>
      <c r="R71" s="12"/>
      <c r="S71" s="13"/>
      <c r="T71" s="13"/>
      <c r="U71" s="13"/>
      <c r="V71" s="13"/>
      <c r="W71" s="13"/>
      <c r="X71" s="13"/>
      <c r="Y71" s="9" t="str">
        <f aca="false">IF(OR(M71="",S71=""),"",IF(M71=S71,"Sama","Beda"))</f>
        <v/>
      </c>
      <c r="Z71" s="9" t="str">
        <f aca="false">IF(OR(N71="",T71=""),"",IF(N71=T71,"Sama","Beda"))</f>
        <v/>
      </c>
      <c r="AA71" s="9" t="str">
        <f aca="false">IF(OR(O71="",U71=""),"",IF(O71=U71,"Sama","Beda"))</f>
        <v/>
      </c>
      <c r="AB71" s="9" t="str">
        <f aca="false">IF(OR(P71="",V71=""),"",IF(P71=V71,"Sama","Beda"))</f>
        <v/>
      </c>
      <c r="AC71" s="9" t="str">
        <f aca="false">IF(OR(Q71="",W71=""),"",IF(Q71=W71,"Sama","Beda"))</f>
        <v/>
      </c>
      <c r="AD71" s="9" t="str">
        <f aca="false">IF(OR(R71="",X71=""),"",IF(R71=X71,"Sama","Beda"))</f>
        <v/>
      </c>
      <c r="AE71" s="9" t="n">
        <f aca="false">COUNTIF(Y71:AD71,"Beda")</f>
        <v>0</v>
      </c>
      <c r="AF71" s="14"/>
      <c r="AG71" s="14"/>
      <c r="AH71" s="14"/>
      <c r="AI71" s="14"/>
      <c r="AJ71" s="14"/>
      <c r="AK71" s="14"/>
      <c r="AL71" s="15" t="str">
        <f aca="false">IF(AF71&lt;&gt;"",AF71,IF(AND(M71&lt;&gt;"",M71=S71),M71,""))</f>
        <v/>
      </c>
      <c r="AM71" s="15" t="str">
        <f aca="false">IF(AG71&lt;&gt;"",AG71,IF(AND(N71&lt;&gt;"",N71=T71),N71,""))</f>
        <v/>
      </c>
      <c r="AN71" s="15" t="str">
        <f aca="false">IF(AH71&lt;&gt;"",AH71,IF(AND(O71&lt;&gt;"",O71=U71),O71,""))</f>
        <v/>
      </c>
      <c r="AO71" s="15" t="str">
        <f aca="false">IF(AI71&lt;&gt;"",AI71,IF(AND(P71&lt;&gt;"",P71=V71),P71,""))</f>
        <v/>
      </c>
      <c r="AP71" s="15" t="str">
        <f aca="false">IF(AJ71&lt;&gt;"",AJ71,IF(AND(Q71&lt;&gt;"",Q71=W71),Q71,""))</f>
        <v/>
      </c>
      <c r="AQ71" s="15" t="str">
        <f aca="false">IF(AK71&lt;&gt;"",AK71,IF(AND(R71&lt;&gt;"",R71=X71),R71,""))</f>
        <v/>
      </c>
      <c r="AR71" s="16"/>
      <c r="AS71" s="9" t="str">
        <f aca="false">IF(COUNTA(M71:R71)+COUNTA(S71:X71)&lt;12,"Menunggu coder",IF(AE71=0,"Sepakat",IF(SUMPRODUCT((Y71:AD71="Beda")*(AF71:AK71=""))=0,"Selesai adjudikasi","Perlu adjudikasi")))</f>
        <v>Menunggu coder</v>
      </c>
      <c r="AT71" s="10" t="str">
        <f aca="false">IF(COUNTIF(AL71:AQ71,"?*")&lt;6,"",IF(IF(AND(AM71="R0",AQ71&lt;&gt;"K5"),"R0 harus K5; ","")&amp;IF(AND(AM71="R1",AQ71="K3"),"R1 tidak boleh K3 (fungsional); ","")&amp;IF(AND(AM71="R2",AQ71="K5"),"R2 tidak boleh K5; ","")&amp;IF(AND(AM71="R2",OR(AL71="S6",AL71="S7",AL71="S8")),"R2 tidak boleh S6/S7/S8; ","")&amp;IF(AND(AO71="P9",AN71&lt;&gt;"T17"),"P9 hanya dengan T17; ","")&amp;IF(AND(OR(AN71="T17",AO71="P9"),AM71&lt;&gt;"R0"),"T17/P9 harus R0; ","")&amp;IF(AND(AN71="T01",AO71&lt;&gt;"P6"),"T01 biasanya P6 (periksa); ","")&amp;IF(AND(AO71="P1",AQ71&lt;&gt;"K4"),"P1 biasanya K4 (periksa); ","")="","OK",IF(AND(AM71="R0",AQ71&lt;&gt;"K5"),"R0 harus K5; ","")&amp;IF(AND(AM71="R1",AQ71="K3"),"R1 tidak boleh K3 (fungsional); ","")&amp;IF(AND(AM71="R2",AQ71="K5"),"R2 tidak boleh K5; ","")&amp;IF(AND(AM71="R2",OR(AL71="S6",AL71="S7",AL71="S8")),"R2 tidak boleh S6/S7/S8; ","")&amp;IF(AND(AO71="P9",AN71&lt;&gt;"T17"),"P9 hanya dengan T17; ","")&amp;IF(AND(OR(AN71="T17",AO71="P9"),AM71&lt;&gt;"R0"),"T17/P9 harus R0; ","")&amp;IF(AND(AN71="T01",AO71&lt;&gt;"P6"),"T01 biasanya P6 (periksa); ","")&amp;IF(AND(AO71="P1",AQ71&lt;&gt;"K4"),"P1 biasanya K4 (periksa); ","")))</f>
        <v/>
      </c>
    </row>
    <row r="72" customFormat="false" ht="48" hidden="false" customHeight="true" outlineLevel="0" collapsed="false">
      <c r="A72" s="9" t="n">
        <v>69</v>
      </c>
      <c r="B72" s="10" t="str">
        <f aca="false">IF(INDEX(Korpus!$A:$A,$A72)="","",INDEX(Korpus!$A:$A,$A72))</f>
        <v/>
      </c>
      <c r="C72" s="10" t="str">
        <f aca="false">TRIM(INDEX(Korpus!$D:$D,$A72)&amp;" "&amp;INDEX(Korpus!$E:$E,$A72))</f>
        <v/>
      </c>
      <c r="D72" s="10" t="str">
        <f aca="false">IF(INDEX(Korpus!$B:$B,$A72)="","",INDEX(Korpus!$B:$B,$A72))</f>
        <v/>
      </c>
      <c r="E72" s="10" t="str">
        <f aca="false">IF(INDEX(Korpus!$C:$C,$A72)="","",INDEX(Korpus!$C:$C,$A72))</f>
        <v/>
      </c>
      <c r="F72" s="10" t="str">
        <f aca="false">IF(INDEX(Korpus!$F:$F,$A72)="","",INDEX(Korpus!$F:$F,$A72))</f>
        <v/>
      </c>
      <c r="G72" s="11"/>
      <c r="H72" s="11"/>
      <c r="I72" s="11"/>
      <c r="J72" s="11"/>
      <c r="K72" s="11"/>
      <c r="L72" s="11"/>
      <c r="M72" s="12"/>
      <c r="N72" s="12"/>
      <c r="O72" s="12"/>
      <c r="P72" s="12"/>
      <c r="Q72" s="12"/>
      <c r="R72" s="12"/>
      <c r="S72" s="13"/>
      <c r="T72" s="13"/>
      <c r="U72" s="13"/>
      <c r="V72" s="13"/>
      <c r="W72" s="13"/>
      <c r="X72" s="13"/>
      <c r="Y72" s="9" t="str">
        <f aca="false">IF(OR(M72="",S72=""),"",IF(M72=S72,"Sama","Beda"))</f>
        <v/>
      </c>
      <c r="Z72" s="9" t="str">
        <f aca="false">IF(OR(N72="",T72=""),"",IF(N72=T72,"Sama","Beda"))</f>
        <v/>
      </c>
      <c r="AA72" s="9" t="str">
        <f aca="false">IF(OR(O72="",U72=""),"",IF(O72=U72,"Sama","Beda"))</f>
        <v/>
      </c>
      <c r="AB72" s="9" t="str">
        <f aca="false">IF(OR(P72="",V72=""),"",IF(P72=V72,"Sama","Beda"))</f>
        <v/>
      </c>
      <c r="AC72" s="9" t="str">
        <f aca="false">IF(OR(Q72="",W72=""),"",IF(Q72=W72,"Sama","Beda"))</f>
        <v/>
      </c>
      <c r="AD72" s="9" t="str">
        <f aca="false">IF(OR(R72="",X72=""),"",IF(R72=X72,"Sama","Beda"))</f>
        <v/>
      </c>
      <c r="AE72" s="9" t="n">
        <f aca="false">COUNTIF(Y72:AD72,"Beda")</f>
        <v>0</v>
      </c>
      <c r="AF72" s="14"/>
      <c r="AG72" s="14"/>
      <c r="AH72" s="14"/>
      <c r="AI72" s="14"/>
      <c r="AJ72" s="14"/>
      <c r="AK72" s="14"/>
      <c r="AL72" s="15" t="str">
        <f aca="false">IF(AF72&lt;&gt;"",AF72,IF(AND(M72&lt;&gt;"",M72=S72),M72,""))</f>
        <v/>
      </c>
      <c r="AM72" s="15" t="str">
        <f aca="false">IF(AG72&lt;&gt;"",AG72,IF(AND(N72&lt;&gt;"",N72=T72),N72,""))</f>
        <v/>
      </c>
      <c r="AN72" s="15" t="str">
        <f aca="false">IF(AH72&lt;&gt;"",AH72,IF(AND(O72&lt;&gt;"",O72=U72),O72,""))</f>
        <v/>
      </c>
      <c r="AO72" s="15" t="str">
        <f aca="false">IF(AI72&lt;&gt;"",AI72,IF(AND(P72&lt;&gt;"",P72=V72),P72,""))</f>
        <v/>
      </c>
      <c r="AP72" s="15" t="str">
        <f aca="false">IF(AJ72&lt;&gt;"",AJ72,IF(AND(Q72&lt;&gt;"",Q72=W72),Q72,""))</f>
        <v/>
      </c>
      <c r="AQ72" s="15" t="str">
        <f aca="false">IF(AK72&lt;&gt;"",AK72,IF(AND(R72&lt;&gt;"",R72=X72),R72,""))</f>
        <v/>
      </c>
      <c r="AR72" s="16"/>
      <c r="AS72" s="9" t="str">
        <f aca="false">IF(COUNTA(M72:R72)+COUNTA(S72:X72)&lt;12,"Menunggu coder",IF(AE72=0,"Sepakat",IF(SUMPRODUCT((Y72:AD72="Beda")*(AF72:AK72=""))=0,"Selesai adjudikasi","Perlu adjudikasi")))</f>
        <v>Menunggu coder</v>
      </c>
      <c r="AT72" s="10" t="str">
        <f aca="false">IF(COUNTIF(AL72:AQ72,"?*")&lt;6,"",IF(IF(AND(AM72="R0",AQ72&lt;&gt;"K5"),"R0 harus K5; ","")&amp;IF(AND(AM72="R1",AQ72="K3"),"R1 tidak boleh K3 (fungsional); ","")&amp;IF(AND(AM72="R2",AQ72="K5"),"R2 tidak boleh K5; ","")&amp;IF(AND(AM72="R2",OR(AL72="S6",AL72="S7",AL72="S8")),"R2 tidak boleh S6/S7/S8; ","")&amp;IF(AND(AO72="P9",AN72&lt;&gt;"T17"),"P9 hanya dengan T17; ","")&amp;IF(AND(OR(AN72="T17",AO72="P9"),AM72&lt;&gt;"R0"),"T17/P9 harus R0; ","")&amp;IF(AND(AN72="T01",AO72&lt;&gt;"P6"),"T01 biasanya P6 (periksa); ","")&amp;IF(AND(AO72="P1",AQ72&lt;&gt;"K4"),"P1 biasanya K4 (periksa); ","")="","OK",IF(AND(AM72="R0",AQ72&lt;&gt;"K5"),"R0 harus K5; ","")&amp;IF(AND(AM72="R1",AQ72="K3"),"R1 tidak boleh K3 (fungsional); ","")&amp;IF(AND(AM72="R2",AQ72="K5"),"R2 tidak boleh K5; ","")&amp;IF(AND(AM72="R2",OR(AL72="S6",AL72="S7",AL72="S8")),"R2 tidak boleh S6/S7/S8; ","")&amp;IF(AND(AO72="P9",AN72&lt;&gt;"T17"),"P9 hanya dengan T17; ","")&amp;IF(AND(OR(AN72="T17",AO72="P9"),AM72&lt;&gt;"R0"),"T17/P9 harus R0; ","")&amp;IF(AND(AN72="T01",AO72&lt;&gt;"P6"),"T01 biasanya P6 (periksa); ","")&amp;IF(AND(AO72="P1",AQ72&lt;&gt;"K4"),"P1 biasanya K4 (periksa); ","")))</f>
        <v/>
      </c>
    </row>
    <row r="73" customFormat="false" ht="48" hidden="false" customHeight="true" outlineLevel="0" collapsed="false">
      <c r="A73" s="9" t="n">
        <v>70</v>
      </c>
      <c r="B73" s="10" t="str">
        <f aca="false">IF(INDEX(Korpus!$A:$A,$A73)="","",INDEX(Korpus!$A:$A,$A73))</f>
        <v/>
      </c>
      <c r="C73" s="10" t="str">
        <f aca="false">TRIM(INDEX(Korpus!$D:$D,$A73)&amp;" "&amp;INDEX(Korpus!$E:$E,$A73))</f>
        <v/>
      </c>
      <c r="D73" s="10" t="str">
        <f aca="false">IF(INDEX(Korpus!$B:$B,$A73)="","",INDEX(Korpus!$B:$B,$A73))</f>
        <v/>
      </c>
      <c r="E73" s="10" t="str">
        <f aca="false">IF(INDEX(Korpus!$C:$C,$A73)="","",INDEX(Korpus!$C:$C,$A73))</f>
        <v/>
      </c>
      <c r="F73" s="10" t="str">
        <f aca="false">IF(INDEX(Korpus!$F:$F,$A73)="","",INDEX(Korpus!$F:$F,$A73))</f>
        <v/>
      </c>
      <c r="G73" s="11"/>
      <c r="H73" s="11"/>
      <c r="I73" s="11"/>
      <c r="J73" s="11"/>
      <c r="K73" s="11"/>
      <c r="L73" s="11"/>
      <c r="M73" s="12"/>
      <c r="N73" s="12"/>
      <c r="O73" s="12"/>
      <c r="P73" s="12"/>
      <c r="Q73" s="12"/>
      <c r="R73" s="12"/>
      <c r="S73" s="13"/>
      <c r="T73" s="13"/>
      <c r="U73" s="13"/>
      <c r="V73" s="13"/>
      <c r="W73" s="13"/>
      <c r="X73" s="13"/>
      <c r="Y73" s="9" t="str">
        <f aca="false">IF(OR(M73="",S73=""),"",IF(M73=S73,"Sama","Beda"))</f>
        <v/>
      </c>
      <c r="Z73" s="9" t="str">
        <f aca="false">IF(OR(N73="",T73=""),"",IF(N73=T73,"Sama","Beda"))</f>
        <v/>
      </c>
      <c r="AA73" s="9" t="str">
        <f aca="false">IF(OR(O73="",U73=""),"",IF(O73=U73,"Sama","Beda"))</f>
        <v/>
      </c>
      <c r="AB73" s="9" t="str">
        <f aca="false">IF(OR(P73="",V73=""),"",IF(P73=V73,"Sama","Beda"))</f>
        <v/>
      </c>
      <c r="AC73" s="9" t="str">
        <f aca="false">IF(OR(Q73="",W73=""),"",IF(Q73=W73,"Sama","Beda"))</f>
        <v/>
      </c>
      <c r="AD73" s="9" t="str">
        <f aca="false">IF(OR(R73="",X73=""),"",IF(R73=X73,"Sama","Beda"))</f>
        <v/>
      </c>
      <c r="AE73" s="9" t="n">
        <f aca="false">COUNTIF(Y73:AD73,"Beda")</f>
        <v>0</v>
      </c>
      <c r="AF73" s="14"/>
      <c r="AG73" s="14"/>
      <c r="AH73" s="14"/>
      <c r="AI73" s="14"/>
      <c r="AJ73" s="14"/>
      <c r="AK73" s="14"/>
      <c r="AL73" s="15" t="str">
        <f aca="false">IF(AF73&lt;&gt;"",AF73,IF(AND(M73&lt;&gt;"",M73=S73),M73,""))</f>
        <v/>
      </c>
      <c r="AM73" s="15" t="str">
        <f aca="false">IF(AG73&lt;&gt;"",AG73,IF(AND(N73&lt;&gt;"",N73=T73),N73,""))</f>
        <v/>
      </c>
      <c r="AN73" s="15" t="str">
        <f aca="false">IF(AH73&lt;&gt;"",AH73,IF(AND(O73&lt;&gt;"",O73=U73),O73,""))</f>
        <v/>
      </c>
      <c r="AO73" s="15" t="str">
        <f aca="false">IF(AI73&lt;&gt;"",AI73,IF(AND(P73&lt;&gt;"",P73=V73),P73,""))</f>
        <v/>
      </c>
      <c r="AP73" s="15" t="str">
        <f aca="false">IF(AJ73&lt;&gt;"",AJ73,IF(AND(Q73&lt;&gt;"",Q73=W73),Q73,""))</f>
        <v/>
      </c>
      <c r="AQ73" s="15" t="str">
        <f aca="false">IF(AK73&lt;&gt;"",AK73,IF(AND(R73&lt;&gt;"",R73=X73),R73,""))</f>
        <v/>
      </c>
      <c r="AR73" s="16"/>
      <c r="AS73" s="9" t="str">
        <f aca="false">IF(COUNTA(M73:R73)+COUNTA(S73:X73)&lt;12,"Menunggu coder",IF(AE73=0,"Sepakat",IF(SUMPRODUCT((Y73:AD73="Beda")*(AF73:AK73=""))=0,"Selesai adjudikasi","Perlu adjudikasi")))</f>
        <v>Menunggu coder</v>
      </c>
      <c r="AT73" s="10" t="str">
        <f aca="false">IF(COUNTIF(AL73:AQ73,"?*")&lt;6,"",IF(IF(AND(AM73="R0",AQ73&lt;&gt;"K5"),"R0 harus K5; ","")&amp;IF(AND(AM73="R1",AQ73="K3"),"R1 tidak boleh K3 (fungsional); ","")&amp;IF(AND(AM73="R2",AQ73="K5"),"R2 tidak boleh K5; ","")&amp;IF(AND(AM73="R2",OR(AL73="S6",AL73="S7",AL73="S8")),"R2 tidak boleh S6/S7/S8; ","")&amp;IF(AND(AO73="P9",AN73&lt;&gt;"T17"),"P9 hanya dengan T17; ","")&amp;IF(AND(OR(AN73="T17",AO73="P9"),AM73&lt;&gt;"R0"),"T17/P9 harus R0; ","")&amp;IF(AND(AN73="T01",AO73&lt;&gt;"P6"),"T01 biasanya P6 (periksa); ","")&amp;IF(AND(AO73="P1",AQ73&lt;&gt;"K4"),"P1 biasanya K4 (periksa); ","")="","OK",IF(AND(AM73="R0",AQ73&lt;&gt;"K5"),"R0 harus K5; ","")&amp;IF(AND(AM73="R1",AQ73="K3"),"R1 tidak boleh K3 (fungsional); ","")&amp;IF(AND(AM73="R2",AQ73="K5"),"R2 tidak boleh K5; ","")&amp;IF(AND(AM73="R2",OR(AL73="S6",AL73="S7",AL73="S8")),"R2 tidak boleh S6/S7/S8; ","")&amp;IF(AND(AO73="P9",AN73&lt;&gt;"T17"),"P9 hanya dengan T17; ","")&amp;IF(AND(OR(AN73="T17",AO73="P9"),AM73&lt;&gt;"R0"),"T17/P9 harus R0; ","")&amp;IF(AND(AN73="T01",AO73&lt;&gt;"P6"),"T01 biasanya P6 (periksa); ","")&amp;IF(AND(AO73="P1",AQ73&lt;&gt;"K4"),"P1 biasanya K4 (periksa); ","")))</f>
        <v/>
      </c>
    </row>
    <row r="74" customFormat="false" ht="48" hidden="false" customHeight="true" outlineLevel="0" collapsed="false">
      <c r="A74" s="9" t="n">
        <v>71</v>
      </c>
      <c r="B74" s="10" t="str">
        <f aca="false">IF(INDEX(Korpus!$A:$A,$A74)="","",INDEX(Korpus!$A:$A,$A74))</f>
        <v/>
      </c>
      <c r="C74" s="10" t="str">
        <f aca="false">TRIM(INDEX(Korpus!$D:$D,$A74)&amp;" "&amp;INDEX(Korpus!$E:$E,$A74))</f>
        <v/>
      </c>
      <c r="D74" s="10" t="str">
        <f aca="false">IF(INDEX(Korpus!$B:$B,$A74)="","",INDEX(Korpus!$B:$B,$A74))</f>
        <v/>
      </c>
      <c r="E74" s="10" t="str">
        <f aca="false">IF(INDEX(Korpus!$C:$C,$A74)="","",INDEX(Korpus!$C:$C,$A74))</f>
        <v/>
      </c>
      <c r="F74" s="10" t="str">
        <f aca="false">IF(INDEX(Korpus!$F:$F,$A74)="","",INDEX(Korpus!$F:$F,$A74))</f>
        <v/>
      </c>
      <c r="G74" s="11"/>
      <c r="H74" s="11"/>
      <c r="I74" s="11"/>
      <c r="J74" s="11"/>
      <c r="K74" s="11"/>
      <c r="L74" s="11"/>
      <c r="M74" s="12"/>
      <c r="N74" s="12"/>
      <c r="O74" s="12"/>
      <c r="P74" s="12"/>
      <c r="Q74" s="12"/>
      <c r="R74" s="12"/>
      <c r="S74" s="13"/>
      <c r="T74" s="13"/>
      <c r="U74" s="13"/>
      <c r="V74" s="13"/>
      <c r="W74" s="13"/>
      <c r="X74" s="13"/>
      <c r="Y74" s="9" t="str">
        <f aca="false">IF(OR(M74="",S74=""),"",IF(M74=S74,"Sama","Beda"))</f>
        <v/>
      </c>
      <c r="Z74" s="9" t="str">
        <f aca="false">IF(OR(N74="",T74=""),"",IF(N74=T74,"Sama","Beda"))</f>
        <v/>
      </c>
      <c r="AA74" s="9" t="str">
        <f aca="false">IF(OR(O74="",U74=""),"",IF(O74=U74,"Sama","Beda"))</f>
        <v/>
      </c>
      <c r="AB74" s="9" t="str">
        <f aca="false">IF(OR(P74="",V74=""),"",IF(P74=V74,"Sama","Beda"))</f>
        <v/>
      </c>
      <c r="AC74" s="9" t="str">
        <f aca="false">IF(OR(Q74="",W74=""),"",IF(Q74=W74,"Sama","Beda"))</f>
        <v/>
      </c>
      <c r="AD74" s="9" t="str">
        <f aca="false">IF(OR(R74="",X74=""),"",IF(R74=X74,"Sama","Beda"))</f>
        <v/>
      </c>
      <c r="AE74" s="9" t="n">
        <f aca="false">COUNTIF(Y74:AD74,"Beda")</f>
        <v>0</v>
      </c>
      <c r="AF74" s="14"/>
      <c r="AG74" s="14"/>
      <c r="AH74" s="14"/>
      <c r="AI74" s="14"/>
      <c r="AJ74" s="14"/>
      <c r="AK74" s="14"/>
      <c r="AL74" s="15" t="str">
        <f aca="false">IF(AF74&lt;&gt;"",AF74,IF(AND(M74&lt;&gt;"",M74=S74),M74,""))</f>
        <v/>
      </c>
      <c r="AM74" s="15" t="str">
        <f aca="false">IF(AG74&lt;&gt;"",AG74,IF(AND(N74&lt;&gt;"",N74=T74),N74,""))</f>
        <v/>
      </c>
      <c r="AN74" s="15" t="str">
        <f aca="false">IF(AH74&lt;&gt;"",AH74,IF(AND(O74&lt;&gt;"",O74=U74),O74,""))</f>
        <v/>
      </c>
      <c r="AO74" s="15" t="str">
        <f aca="false">IF(AI74&lt;&gt;"",AI74,IF(AND(P74&lt;&gt;"",P74=V74),P74,""))</f>
        <v/>
      </c>
      <c r="AP74" s="15" t="str">
        <f aca="false">IF(AJ74&lt;&gt;"",AJ74,IF(AND(Q74&lt;&gt;"",Q74=W74),Q74,""))</f>
        <v/>
      </c>
      <c r="AQ74" s="15" t="str">
        <f aca="false">IF(AK74&lt;&gt;"",AK74,IF(AND(R74&lt;&gt;"",R74=X74),R74,""))</f>
        <v/>
      </c>
      <c r="AR74" s="16"/>
      <c r="AS74" s="9" t="str">
        <f aca="false">IF(COUNTA(M74:R74)+COUNTA(S74:X74)&lt;12,"Menunggu coder",IF(AE74=0,"Sepakat",IF(SUMPRODUCT((Y74:AD74="Beda")*(AF74:AK74=""))=0,"Selesai adjudikasi","Perlu adjudikasi")))</f>
        <v>Menunggu coder</v>
      </c>
      <c r="AT74" s="10" t="str">
        <f aca="false">IF(COUNTIF(AL74:AQ74,"?*")&lt;6,"",IF(IF(AND(AM74="R0",AQ74&lt;&gt;"K5"),"R0 harus K5; ","")&amp;IF(AND(AM74="R1",AQ74="K3"),"R1 tidak boleh K3 (fungsional); ","")&amp;IF(AND(AM74="R2",AQ74="K5"),"R2 tidak boleh K5; ","")&amp;IF(AND(AM74="R2",OR(AL74="S6",AL74="S7",AL74="S8")),"R2 tidak boleh S6/S7/S8; ","")&amp;IF(AND(AO74="P9",AN74&lt;&gt;"T17"),"P9 hanya dengan T17; ","")&amp;IF(AND(OR(AN74="T17",AO74="P9"),AM74&lt;&gt;"R0"),"T17/P9 harus R0; ","")&amp;IF(AND(AN74="T01",AO74&lt;&gt;"P6"),"T01 biasanya P6 (periksa); ","")&amp;IF(AND(AO74="P1",AQ74&lt;&gt;"K4"),"P1 biasanya K4 (periksa); ","")="","OK",IF(AND(AM74="R0",AQ74&lt;&gt;"K5"),"R0 harus K5; ","")&amp;IF(AND(AM74="R1",AQ74="K3"),"R1 tidak boleh K3 (fungsional); ","")&amp;IF(AND(AM74="R2",AQ74="K5"),"R2 tidak boleh K5; ","")&amp;IF(AND(AM74="R2",OR(AL74="S6",AL74="S7",AL74="S8")),"R2 tidak boleh S6/S7/S8; ","")&amp;IF(AND(AO74="P9",AN74&lt;&gt;"T17"),"P9 hanya dengan T17; ","")&amp;IF(AND(OR(AN74="T17",AO74="P9"),AM74&lt;&gt;"R0"),"T17/P9 harus R0; ","")&amp;IF(AND(AN74="T01",AO74&lt;&gt;"P6"),"T01 biasanya P6 (periksa); ","")&amp;IF(AND(AO74="P1",AQ74&lt;&gt;"K4"),"P1 biasanya K4 (periksa); ","")))</f>
        <v/>
      </c>
    </row>
    <row r="75" customFormat="false" ht="48" hidden="false" customHeight="true" outlineLevel="0" collapsed="false">
      <c r="A75" s="9" t="n">
        <v>72</v>
      </c>
      <c r="B75" s="10" t="str">
        <f aca="false">IF(INDEX(Korpus!$A:$A,$A75)="","",INDEX(Korpus!$A:$A,$A75))</f>
        <v/>
      </c>
      <c r="C75" s="10" t="str">
        <f aca="false">TRIM(INDEX(Korpus!$D:$D,$A75)&amp;" "&amp;INDEX(Korpus!$E:$E,$A75))</f>
        <v/>
      </c>
      <c r="D75" s="10" t="str">
        <f aca="false">IF(INDEX(Korpus!$B:$B,$A75)="","",INDEX(Korpus!$B:$B,$A75))</f>
        <v/>
      </c>
      <c r="E75" s="10" t="str">
        <f aca="false">IF(INDEX(Korpus!$C:$C,$A75)="","",INDEX(Korpus!$C:$C,$A75))</f>
        <v/>
      </c>
      <c r="F75" s="10" t="str">
        <f aca="false">IF(INDEX(Korpus!$F:$F,$A75)="","",INDEX(Korpus!$F:$F,$A75))</f>
        <v/>
      </c>
      <c r="G75" s="11"/>
      <c r="H75" s="11"/>
      <c r="I75" s="11"/>
      <c r="J75" s="11"/>
      <c r="K75" s="11"/>
      <c r="L75" s="11"/>
      <c r="M75" s="12"/>
      <c r="N75" s="12"/>
      <c r="O75" s="12"/>
      <c r="P75" s="12"/>
      <c r="Q75" s="12"/>
      <c r="R75" s="12"/>
      <c r="S75" s="13"/>
      <c r="T75" s="13"/>
      <c r="U75" s="13"/>
      <c r="V75" s="13"/>
      <c r="W75" s="13"/>
      <c r="X75" s="13"/>
      <c r="Y75" s="9" t="str">
        <f aca="false">IF(OR(M75="",S75=""),"",IF(M75=S75,"Sama","Beda"))</f>
        <v/>
      </c>
      <c r="Z75" s="9" t="str">
        <f aca="false">IF(OR(N75="",T75=""),"",IF(N75=T75,"Sama","Beda"))</f>
        <v/>
      </c>
      <c r="AA75" s="9" t="str">
        <f aca="false">IF(OR(O75="",U75=""),"",IF(O75=U75,"Sama","Beda"))</f>
        <v/>
      </c>
      <c r="AB75" s="9" t="str">
        <f aca="false">IF(OR(P75="",V75=""),"",IF(P75=V75,"Sama","Beda"))</f>
        <v/>
      </c>
      <c r="AC75" s="9" t="str">
        <f aca="false">IF(OR(Q75="",W75=""),"",IF(Q75=W75,"Sama","Beda"))</f>
        <v/>
      </c>
      <c r="AD75" s="9" t="str">
        <f aca="false">IF(OR(R75="",X75=""),"",IF(R75=X75,"Sama","Beda"))</f>
        <v/>
      </c>
      <c r="AE75" s="9" t="n">
        <f aca="false">COUNTIF(Y75:AD75,"Beda")</f>
        <v>0</v>
      </c>
      <c r="AF75" s="14"/>
      <c r="AG75" s="14"/>
      <c r="AH75" s="14"/>
      <c r="AI75" s="14"/>
      <c r="AJ75" s="14"/>
      <c r="AK75" s="14"/>
      <c r="AL75" s="15" t="str">
        <f aca="false">IF(AF75&lt;&gt;"",AF75,IF(AND(M75&lt;&gt;"",M75=S75),M75,""))</f>
        <v/>
      </c>
      <c r="AM75" s="15" t="str">
        <f aca="false">IF(AG75&lt;&gt;"",AG75,IF(AND(N75&lt;&gt;"",N75=T75),N75,""))</f>
        <v/>
      </c>
      <c r="AN75" s="15" t="str">
        <f aca="false">IF(AH75&lt;&gt;"",AH75,IF(AND(O75&lt;&gt;"",O75=U75),O75,""))</f>
        <v/>
      </c>
      <c r="AO75" s="15" t="str">
        <f aca="false">IF(AI75&lt;&gt;"",AI75,IF(AND(P75&lt;&gt;"",P75=V75),P75,""))</f>
        <v/>
      </c>
      <c r="AP75" s="15" t="str">
        <f aca="false">IF(AJ75&lt;&gt;"",AJ75,IF(AND(Q75&lt;&gt;"",Q75=W75),Q75,""))</f>
        <v/>
      </c>
      <c r="AQ75" s="15" t="str">
        <f aca="false">IF(AK75&lt;&gt;"",AK75,IF(AND(R75&lt;&gt;"",R75=X75),R75,""))</f>
        <v/>
      </c>
      <c r="AR75" s="16"/>
      <c r="AS75" s="9" t="str">
        <f aca="false">IF(COUNTA(M75:R75)+COUNTA(S75:X75)&lt;12,"Menunggu coder",IF(AE75=0,"Sepakat",IF(SUMPRODUCT((Y75:AD75="Beda")*(AF75:AK75=""))=0,"Selesai adjudikasi","Perlu adjudikasi")))</f>
        <v>Menunggu coder</v>
      </c>
      <c r="AT75" s="10" t="str">
        <f aca="false">IF(COUNTIF(AL75:AQ75,"?*")&lt;6,"",IF(IF(AND(AM75="R0",AQ75&lt;&gt;"K5"),"R0 harus K5; ","")&amp;IF(AND(AM75="R1",AQ75="K3"),"R1 tidak boleh K3 (fungsional); ","")&amp;IF(AND(AM75="R2",AQ75="K5"),"R2 tidak boleh K5; ","")&amp;IF(AND(AM75="R2",OR(AL75="S6",AL75="S7",AL75="S8")),"R2 tidak boleh S6/S7/S8; ","")&amp;IF(AND(AO75="P9",AN75&lt;&gt;"T17"),"P9 hanya dengan T17; ","")&amp;IF(AND(OR(AN75="T17",AO75="P9"),AM75&lt;&gt;"R0"),"T17/P9 harus R0; ","")&amp;IF(AND(AN75="T01",AO75&lt;&gt;"P6"),"T01 biasanya P6 (periksa); ","")&amp;IF(AND(AO75="P1",AQ75&lt;&gt;"K4"),"P1 biasanya K4 (periksa); ","")="","OK",IF(AND(AM75="R0",AQ75&lt;&gt;"K5"),"R0 harus K5; ","")&amp;IF(AND(AM75="R1",AQ75="K3"),"R1 tidak boleh K3 (fungsional); ","")&amp;IF(AND(AM75="R2",AQ75="K5"),"R2 tidak boleh K5; ","")&amp;IF(AND(AM75="R2",OR(AL75="S6",AL75="S7",AL75="S8")),"R2 tidak boleh S6/S7/S8; ","")&amp;IF(AND(AO75="P9",AN75&lt;&gt;"T17"),"P9 hanya dengan T17; ","")&amp;IF(AND(OR(AN75="T17",AO75="P9"),AM75&lt;&gt;"R0"),"T17/P9 harus R0; ","")&amp;IF(AND(AN75="T01",AO75&lt;&gt;"P6"),"T01 biasanya P6 (periksa); ","")&amp;IF(AND(AO75="P1",AQ75&lt;&gt;"K4"),"P1 biasanya K4 (periksa); ","")))</f>
        <v/>
      </c>
    </row>
    <row r="76" customFormat="false" ht="48" hidden="false" customHeight="true" outlineLevel="0" collapsed="false">
      <c r="A76" s="9" t="n">
        <v>73</v>
      </c>
      <c r="B76" s="10" t="str">
        <f aca="false">IF(INDEX(Korpus!$A:$A,$A76)="","",INDEX(Korpus!$A:$A,$A76))</f>
        <v/>
      </c>
      <c r="C76" s="10" t="str">
        <f aca="false">TRIM(INDEX(Korpus!$D:$D,$A76)&amp;" "&amp;INDEX(Korpus!$E:$E,$A76))</f>
        <v/>
      </c>
      <c r="D76" s="10" t="str">
        <f aca="false">IF(INDEX(Korpus!$B:$B,$A76)="","",INDEX(Korpus!$B:$B,$A76))</f>
        <v/>
      </c>
      <c r="E76" s="10" t="str">
        <f aca="false">IF(INDEX(Korpus!$C:$C,$A76)="","",INDEX(Korpus!$C:$C,$A76))</f>
        <v/>
      </c>
      <c r="F76" s="10" t="str">
        <f aca="false">IF(INDEX(Korpus!$F:$F,$A76)="","",INDEX(Korpus!$F:$F,$A76))</f>
        <v/>
      </c>
      <c r="G76" s="11"/>
      <c r="H76" s="11"/>
      <c r="I76" s="11"/>
      <c r="J76" s="11"/>
      <c r="K76" s="11"/>
      <c r="L76" s="11"/>
      <c r="M76" s="12"/>
      <c r="N76" s="12"/>
      <c r="O76" s="12"/>
      <c r="P76" s="12"/>
      <c r="Q76" s="12"/>
      <c r="R76" s="12"/>
      <c r="S76" s="13"/>
      <c r="T76" s="13"/>
      <c r="U76" s="13"/>
      <c r="V76" s="13"/>
      <c r="W76" s="13"/>
      <c r="X76" s="13"/>
      <c r="Y76" s="9" t="str">
        <f aca="false">IF(OR(M76="",S76=""),"",IF(M76=S76,"Sama","Beda"))</f>
        <v/>
      </c>
      <c r="Z76" s="9" t="str">
        <f aca="false">IF(OR(N76="",T76=""),"",IF(N76=T76,"Sama","Beda"))</f>
        <v/>
      </c>
      <c r="AA76" s="9" t="str">
        <f aca="false">IF(OR(O76="",U76=""),"",IF(O76=U76,"Sama","Beda"))</f>
        <v/>
      </c>
      <c r="AB76" s="9" t="str">
        <f aca="false">IF(OR(P76="",V76=""),"",IF(P76=V76,"Sama","Beda"))</f>
        <v/>
      </c>
      <c r="AC76" s="9" t="str">
        <f aca="false">IF(OR(Q76="",W76=""),"",IF(Q76=W76,"Sama","Beda"))</f>
        <v/>
      </c>
      <c r="AD76" s="9" t="str">
        <f aca="false">IF(OR(R76="",X76=""),"",IF(R76=X76,"Sama","Beda"))</f>
        <v/>
      </c>
      <c r="AE76" s="9" t="n">
        <f aca="false">COUNTIF(Y76:AD76,"Beda")</f>
        <v>0</v>
      </c>
      <c r="AF76" s="14"/>
      <c r="AG76" s="14"/>
      <c r="AH76" s="14"/>
      <c r="AI76" s="14"/>
      <c r="AJ76" s="14"/>
      <c r="AK76" s="14"/>
      <c r="AL76" s="15" t="str">
        <f aca="false">IF(AF76&lt;&gt;"",AF76,IF(AND(M76&lt;&gt;"",M76=S76),M76,""))</f>
        <v/>
      </c>
      <c r="AM76" s="15" t="str">
        <f aca="false">IF(AG76&lt;&gt;"",AG76,IF(AND(N76&lt;&gt;"",N76=T76),N76,""))</f>
        <v/>
      </c>
      <c r="AN76" s="15" t="str">
        <f aca="false">IF(AH76&lt;&gt;"",AH76,IF(AND(O76&lt;&gt;"",O76=U76),O76,""))</f>
        <v/>
      </c>
      <c r="AO76" s="15" t="str">
        <f aca="false">IF(AI76&lt;&gt;"",AI76,IF(AND(P76&lt;&gt;"",P76=V76),P76,""))</f>
        <v/>
      </c>
      <c r="AP76" s="15" t="str">
        <f aca="false">IF(AJ76&lt;&gt;"",AJ76,IF(AND(Q76&lt;&gt;"",Q76=W76),Q76,""))</f>
        <v/>
      </c>
      <c r="AQ76" s="15" t="str">
        <f aca="false">IF(AK76&lt;&gt;"",AK76,IF(AND(R76&lt;&gt;"",R76=X76),R76,""))</f>
        <v/>
      </c>
      <c r="AR76" s="16"/>
      <c r="AS76" s="9" t="str">
        <f aca="false">IF(COUNTA(M76:R76)+COUNTA(S76:X76)&lt;12,"Menunggu coder",IF(AE76=0,"Sepakat",IF(SUMPRODUCT((Y76:AD76="Beda")*(AF76:AK76=""))=0,"Selesai adjudikasi","Perlu adjudikasi")))</f>
        <v>Menunggu coder</v>
      </c>
      <c r="AT76" s="10" t="str">
        <f aca="false">IF(COUNTIF(AL76:AQ76,"?*")&lt;6,"",IF(IF(AND(AM76="R0",AQ76&lt;&gt;"K5"),"R0 harus K5; ","")&amp;IF(AND(AM76="R1",AQ76="K3"),"R1 tidak boleh K3 (fungsional); ","")&amp;IF(AND(AM76="R2",AQ76="K5"),"R2 tidak boleh K5; ","")&amp;IF(AND(AM76="R2",OR(AL76="S6",AL76="S7",AL76="S8")),"R2 tidak boleh S6/S7/S8; ","")&amp;IF(AND(AO76="P9",AN76&lt;&gt;"T17"),"P9 hanya dengan T17; ","")&amp;IF(AND(OR(AN76="T17",AO76="P9"),AM76&lt;&gt;"R0"),"T17/P9 harus R0; ","")&amp;IF(AND(AN76="T01",AO76&lt;&gt;"P6"),"T01 biasanya P6 (periksa); ","")&amp;IF(AND(AO76="P1",AQ76&lt;&gt;"K4"),"P1 biasanya K4 (periksa); ","")="","OK",IF(AND(AM76="R0",AQ76&lt;&gt;"K5"),"R0 harus K5; ","")&amp;IF(AND(AM76="R1",AQ76="K3"),"R1 tidak boleh K3 (fungsional); ","")&amp;IF(AND(AM76="R2",AQ76="K5"),"R2 tidak boleh K5; ","")&amp;IF(AND(AM76="R2",OR(AL76="S6",AL76="S7",AL76="S8")),"R2 tidak boleh S6/S7/S8; ","")&amp;IF(AND(AO76="P9",AN76&lt;&gt;"T17"),"P9 hanya dengan T17; ","")&amp;IF(AND(OR(AN76="T17",AO76="P9"),AM76&lt;&gt;"R0"),"T17/P9 harus R0; ","")&amp;IF(AND(AN76="T01",AO76&lt;&gt;"P6"),"T01 biasanya P6 (periksa); ","")&amp;IF(AND(AO76="P1",AQ76&lt;&gt;"K4"),"P1 biasanya K4 (periksa); ","")))</f>
        <v/>
      </c>
    </row>
    <row r="77" customFormat="false" ht="48" hidden="false" customHeight="true" outlineLevel="0" collapsed="false">
      <c r="A77" s="9" t="n">
        <v>74</v>
      </c>
      <c r="B77" s="10" t="str">
        <f aca="false">IF(INDEX(Korpus!$A:$A,$A77)="","",INDEX(Korpus!$A:$A,$A77))</f>
        <v/>
      </c>
      <c r="C77" s="10" t="str">
        <f aca="false">TRIM(INDEX(Korpus!$D:$D,$A77)&amp;" "&amp;INDEX(Korpus!$E:$E,$A77))</f>
        <v/>
      </c>
      <c r="D77" s="10" t="str">
        <f aca="false">IF(INDEX(Korpus!$B:$B,$A77)="","",INDEX(Korpus!$B:$B,$A77))</f>
        <v/>
      </c>
      <c r="E77" s="10" t="str">
        <f aca="false">IF(INDEX(Korpus!$C:$C,$A77)="","",INDEX(Korpus!$C:$C,$A77))</f>
        <v/>
      </c>
      <c r="F77" s="10" t="str">
        <f aca="false">IF(INDEX(Korpus!$F:$F,$A77)="","",INDEX(Korpus!$F:$F,$A77))</f>
        <v/>
      </c>
      <c r="G77" s="11"/>
      <c r="H77" s="11"/>
      <c r="I77" s="11"/>
      <c r="J77" s="11"/>
      <c r="K77" s="11"/>
      <c r="L77" s="11"/>
      <c r="M77" s="12"/>
      <c r="N77" s="12"/>
      <c r="O77" s="12"/>
      <c r="P77" s="12"/>
      <c r="Q77" s="12"/>
      <c r="R77" s="12"/>
      <c r="S77" s="13"/>
      <c r="T77" s="13"/>
      <c r="U77" s="13"/>
      <c r="V77" s="13"/>
      <c r="W77" s="13"/>
      <c r="X77" s="13"/>
      <c r="Y77" s="9" t="str">
        <f aca="false">IF(OR(M77="",S77=""),"",IF(M77=S77,"Sama","Beda"))</f>
        <v/>
      </c>
      <c r="Z77" s="9" t="str">
        <f aca="false">IF(OR(N77="",T77=""),"",IF(N77=T77,"Sama","Beda"))</f>
        <v/>
      </c>
      <c r="AA77" s="9" t="str">
        <f aca="false">IF(OR(O77="",U77=""),"",IF(O77=U77,"Sama","Beda"))</f>
        <v/>
      </c>
      <c r="AB77" s="9" t="str">
        <f aca="false">IF(OR(P77="",V77=""),"",IF(P77=V77,"Sama","Beda"))</f>
        <v/>
      </c>
      <c r="AC77" s="9" t="str">
        <f aca="false">IF(OR(Q77="",W77=""),"",IF(Q77=W77,"Sama","Beda"))</f>
        <v/>
      </c>
      <c r="AD77" s="9" t="str">
        <f aca="false">IF(OR(R77="",X77=""),"",IF(R77=X77,"Sama","Beda"))</f>
        <v/>
      </c>
      <c r="AE77" s="9" t="n">
        <f aca="false">COUNTIF(Y77:AD77,"Beda")</f>
        <v>0</v>
      </c>
      <c r="AF77" s="14"/>
      <c r="AG77" s="14"/>
      <c r="AH77" s="14"/>
      <c r="AI77" s="14"/>
      <c r="AJ77" s="14"/>
      <c r="AK77" s="14"/>
      <c r="AL77" s="15" t="str">
        <f aca="false">IF(AF77&lt;&gt;"",AF77,IF(AND(M77&lt;&gt;"",M77=S77),M77,""))</f>
        <v/>
      </c>
      <c r="AM77" s="15" t="str">
        <f aca="false">IF(AG77&lt;&gt;"",AG77,IF(AND(N77&lt;&gt;"",N77=T77),N77,""))</f>
        <v/>
      </c>
      <c r="AN77" s="15" t="str">
        <f aca="false">IF(AH77&lt;&gt;"",AH77,IF(AND(O77&lt;&gt;"",O77=U77),O77,""))</f>
        <v/>
      </c>
      <c r="AO77" s="15" t="str">
        <f aca="false">IF(AI77&lt;&gt;"",AI77,IF(AND(P77&lt;&gt;"",P77=V77),P77,""))</f>
        <v/>
      </c>
      <c r="AP77" s="15" t="str">
        <f aca="false">IF(AJ77&lt;&gt;"",AJ77,IF(AND(Q77&lt;&gt;"",Q77=W77),Q77,""))</f>
        <v/>
      </c>
      <c r="AQ77" s="15" t="str">
        <f aca="false">IF(AK77&lt;&gt;"",AK77,IF(AND(R77&lt;&gt;"",R77=X77),R77,""))</f>
        <v/>
      </c>
      <c r="AR77" s="16"/>
      <c r="AS77" s="9" t="str">
        <f aca="false">IF(COUNTA(M77:R77)+COUNTA(S77:X77)&lt;12,"Menunggu coder",IF(AE77=0,"Sepakat",IF(SUMPRODUCT((Y77:AD77="Beda")*(AF77:AK77=""))=0,"Selesai adjudikasi","Perlu adjudikasi")))</f>
        <v>Menunggu coder</v>
      </c>
      <c r="AT77" s="10" t="str">
        <f aca="false">IF(COUNTIF(AL77:AQ77,"?*")&lt;6,"",IF(IF(AND(AM77="R0",AQ77&lt;&gt;"K5"),"R0 harus K5; ","")&amp;IF(AND(AM77="R1",AQ77="K3"),"R1 tidak boleh K3 (fungsional); ","")&amp;IF(AND(AM77="R2",AQ77="K5"),"R2 tidak boleh K5; ","")&amp;IF(AND(AM77="R2",OR(AL77="S6",AL77="S7",AL77="S8")),"R2 tidak boleh S6/S7/S8; ","")&amp;IF(AND(AO77="P9",AN77&lt;&gt;"T17"),"P9 hanya dengan T17; ","")&amp;IF(AND(OR(AN77="T17",AO77="P9"),AM77&lt;&gt;"R0"),"T17/P9 harus R0; ","")&amp;IF(AND(AN77="T01",AO77&lt;&gt;"P6"),"T01 biasanya P6 (periksa); ","")&amp;IF(AND(AO77="P1",AQ77&lt;&gt;"K4"),"P1 biasanya K4 (periksa); ","")="","OK",IF(AND(AM77="R0",AQ77&lt;&gt;"K5"),"R0 harus K5; ","")&amp;IF(AND(AM77="R1",AQ77="K3"),"R1 tidak boleh K3 (fungsional); ","")&amp;IF(AND(AM77="R2",AQ77="K5"),"R2 tidak boleh K5; ","")&amp;IF(AND(AM77="R2",OR(AL77="S6",AL77="S7",AL77="S8")),"R2 tidak boleh S6/S7/S8; ","")&amp;IF(AND(AO77="P9",AN77&lt;&gt;"T17"),"P9 hanya dengan T17; ","")&amp;IF(AND(OR(AN77="T17",AO77="P9"),AM77&lt;&gt;"R0"),"T17/P9 harus R0; ","")&amp;IF(AND(AN77="T01",AO77&lt;&gt;"P6"),"T01 biasanya P6 (periksa); ","")&amp;IF(AND(AO77="P1",AQ77&lt;&gt;"K4"),"P1 biasanya K4 (periksa); ","")))</f>
        <v/>
      </c>
    </row>
    <row r="78" customFormat="false" ht="48" hidden="false" customHeight="true" outlineLevel="0" collapsed="false">
      <c r="A78" s="9" t="n">
        <v>75</v>
      </c>
      <c r="B78" s="10" t="str">
        <f aca="false">IF(INDEX(Korpus!$A:$A,$A78)="","",INDEX(Korpus!$A:$A,$A78))</f>
        <v/>
      </c>
      <c r="C78" s="10" t="str">
        <f aca="false">TRIM(INDEX(Korpus!$D:$D,$A78)&amp;" "&amp;INDEX(Korpus!$E:$E,$A78))</f>
        <v/>
      </c>
      <c r="D78" s="10" t="str">
        <f aca="false">IF(INDEX(Korpus!$B:$B,$A78)="","",INDEX(Korpus!$B:$B,$A78))</f>
        <v/>
      </c>
      <c r="E78" s="10" t="str">
        <f aca="false">IF(INDEX(Korpus!$C:$C,$A78)="","",INDEX(Korpus!$C:$C,$A78))</f>
        <v/>
      </c>
      <c r="F78" s="10" t="str">
        <f aca="false">IF(INDEX(Korpus!$F:$F,$A78)="","",INDEX(Korpus!$F:$F,$A78))</f>
        <v/>
      </c>
      <c r="G78" s="11"/>
      <c r="H78" s="11"/>
      <c r="I78" s="11"/>
      <c r="J78" s="11"/>
      <c r="K78" s="11"/>
      <c r="L78" s="11"/>
      <c r="M78" s="12"/>
      <c r="N78" s="12"/>
      <c r="O78" s="12"/>
      <c r="P78" s="12"/>
      <c r="Q78" s="12"/>
      <c r="R78" s="12"/>
      <c r="S78" s="13"/>
      <c r="T78" s="13"/>
      <c r="U78" s="13"/>
      <c r="V78" s="13"/>
      <c r="W78" s="13"/>
      <c r="X78" s="13"/>
      <c r="Y78" s="9" t="str">
        <f aca="false">IF(OR(M78="",S78=""),"",IF(M78=S78,"Sama","Beda"))</f>
        <v/>
      </c>
      <c r="Z78" s="9" t="str">
        <f aca="false">IF(OR(N78="",T78=""),"",IF(N78=T78,"Sama","Beda"))</f>
        <v/>
      </c>
      <c r="AA78" s="9" t="str">
        <f aca="false">IF(OR(O78="",U78=""),"",IF(O78=U78,"Sama","Beda"))</f>
        <v/>
      </c>
      <c r="AB78" s="9" t="str">
        <f aca="false">IF(OR(P78="",V78=""),"",IF(P78=V78,"Sama","Beda"))</f>
        <v/>
      </c>
      <c r="AC78" s="9" t="str">
        <f aca="false">IF(OR(Q78="",W78=""),"",IF(Q78=W78,"Sama","Beda"))</f>
        <v/>
      </c>
      <c r="AD78" s="9" t="str">
        <f aca="false">IF(OR(R78="",X78=""),"",IF(R78=X78,"Sama","Beda"))</f>
        <v/>
      </c>
      <c r="AE78" s="9" t="n">
        <f aca="false">COUNTIF(Y78:AD78,"Beda")</f>
        <v>0</v>
      </c>
      <c r="AF78" s="14"/>
      <c r="AG78" s="14"/>
      <c r="AH78" s="14"/>
      <c r="AI78" s="14"/>
      <c r="AJ78" s="14"/>
      <c r="AK78" s="14"/>
      <c r="AL78" s="15" t="str">
        <f aca="false">IF(AF78&lt;&gt;"",AF78,IF(AND(M78&lt;&gt;"",M78=S78),M78,""))</f>
        <v/>
      </c>
      <c r="AM78" s="15" t="str">
        <f aca="false">IF(AG78&lt;&gt;"",AG78,IF(AND(N78&lt;&gt;"",N78=T78),N78,""))</f>
        <v/>
      </c>
      <c r="AN78" s="15" t="str">
        <f aca="false">IF(AH78&lt;&gt;"",AH78,IF(AND(O78&lt;&gt;"",O78=U78),O78,""))</f>
        <v/>
      </c>
      <c r="AO78" s="15" t="str">
        <f aca="false">IF(AI78&lt;&gt;"",AI78,IF(AND(P78&lt;&gt;"",P78=V78),P78,""))</f>
        <v/>
      </c>
      <c r="AP78" s="15" t="str">
        <f aca="false">IF(AJ78&lt;&gt;"",AJ78,IF(AND(Q78&lt;&gt;"",Q78=W78),Q78,""))</f>
        <v/>
      </c>
      <c r="AQ78" s="15" t="str">
        <f aca="false">IF(AK78&lt;&gt;"",AK78,IF(AND(R78&lt;&gt;"",R78=X78),R78,""))</f>
        <v/>
      </c>
      <c r="AR78" s="16"/>
      <c r="AS78" s="9" t="str">
        <f aca="false">IF(COUNTA(M78:R78)+COUNTA(S78:X78)&lt;12,"Menunggu coder",IF(AE78=0,"Sepakat",IF(SUMPRODUCT((Y78:AD78="Beda")*(AF78:AK78=""))=0,"Selesai adjudikasi","Perlu adjudikasi")))</f>
        <v>Menunggu coder</v>
      </c>
      <c r="AT78" s="10" t="str">
        <f aca="false">IF(COUNTIF(AL78:AQ78,"?*")&lt;6,"",IF(IF(AND(AM78="R0",AQ78&lt;&gt;"K5"),"R0 harus K5; ","")&amp;IF(AND(AM78="R1",AQ78="K3"),"R1 tidak boleh K3 (fungsional); ","")&amp;IF(AND(AM78="R2",AQ78="K5"),"R2 tidak boleh K5; ","")&amp;IF(AND(AM78="R2",OR(AL78="S6",AL78="S7",AL78="S8")),"R2 tidak boleh S6/S7/S8; ","")&amp;IF(AND(AO78="P9",AN78&lt;&gt;"T17"),"P9 hanya dengan T17; ","")&amp;IF(AND(OR(AN78="T17",AO78="P9"),AM78&lt;&gt;"R0"),"T17/P9 harus R0; ","")&amp;IF(AND(AN78="T01",AO78&lt;&gt;"P6"),"T01 biasanya P6 (periksa); ","")&amp;IF(AND(AO78="P1",AQ78&lt;&gt;"K4"),"P1 biasanya K4 (periksa); ","")="","OK",IF(AND(AM78="R0",AQ78&lt;&gt;"K5"),"R0 harus K5; ","")&amp;IF(AND(AM78="R1",AQ78="K3"),"R1 tidak boleh K3 (fungsional); ","")&amp;IF(AND(AM78="R2",AQ78="K5"),"R2 tidak boleh K5; ","")&amp;IF(AND(AM78="R2",OR(AL78="S6",AL78="S7",AL78="S8")),"R2 tidak boleh S6/S7/S8; ","")&amp;IF(AND(AO78="P9",AN78&lt;&gt;"T17"),"P9 hanya dengan T17; ","")&amp;IF(AND(OR(AN78="T17",AO78="P9"),AM78&lt;&gt;"R0"),"T17/P9 harus R0; ","")&amp;IF(AND(AN78="T01",AO78&lt;&gt;"P6"),"T01 biasanya P6 (periksa); ","")&amp;IF(AND(AO78="P1",AQ78&lt;&gt;"K4"),"P1 biasanya K4 (periksa); ","")))</f>
        <v/>
      </c>
    </row>
    <row r="79" customFormat="false" ht="48" hidden="false" customHeight="true" outlineLevel="0" collapsed="false">
      <c r="A79" s="9" t="n">
        <v>76</v>
      </c>
      <c r="B79" s="10" t="str">
        <f aca="false">IF(INDEX(Korpus!$A:$A,$A79)="","",INDEX(Korpus!$A:$A,$A79))</f>
        <v/>
      </c>
      <c r="C79" s="10" t="str">
        <f aca="false">TRIM(INDEX(Korpus!$D:$D,$A79)&amp;" "&amp;INDEX(Korpus!$E:$E,$A79))</f>
        <v/>
      </c>
      <c r="D79" s="10" t="str">
        <f aca="false">IF(INDEX(Korpus!$B:$B,$A79)="","",INDEX(Korpus!$B:$B,$A79))</f>
        <v/>
      </c>
      <c r="E79" s="10" t="str">
        <f aca="false">IF(INDEX(Korpus!$C:$C,$A79)="","",INDEX(Korpus!$C:$C,$A79))</f>
        <v/>
      </c>
      <c r="F79" s="10" t="str">
        <f aca="false">IF(INDEX(Korpus!$F:$F,$A79)="","",INDEX(Korpus!$F:$F,$A79))</f>
        <v/>
      </c>
      <c r="G79" s="11"/>
      <c r="H79" s="11"/>
      <c r="I79" s="11"/>
      <c r="J79" s="11"/>
      <c r="K79" s="11"/>
      <c r="L79" s="11"/>
      <c r="M79" s="12"/>
      <c r="N79" s="12"/>
      <c r="O79" s="12"/>
      <c r="P79" s="12"/>
      <c r="Q79" s="12"/>
      <c r="R79" s="12"/>
      <c r="S79" s="13"/>
      <c r="T79" s="13"/>
      <c r="U79" s="13"/>
      <c r="V79" s="13"/>
      <c r="W79" s="13"/>
      <c r="X79" s="13"/>
      <c r="Y79" s="9" t="str">
        <f aca="false">IF(OR(M79="",S79=""),"",IF(M79=S79,"Sama","Beda"))</f>
        <v/>
      </c>
      <c r="Z79" s="9" t="str">
        <f aca="false">IF(OR(N79="",T79=""),"",IF(N79=T79,"Sama","Beda"))</f>
        <v/>
      </c>
      <c r="AA79" s="9" t="str">
        <f aca="false">IF(OR(O79="",U79=""),"",IF(O79=U79,"Sama","Beda"))</f>
        <v/>
      </c>
      <c r="AB79" s="9" t="str">
        <f aca="false">IF(OR(P79="",V79=""),"",IF(P79=V79,"Sama","Beda"))</f>
        <v/>
      </c>
      <c r="AC79" s="9" t="str">
        <f aca="false">IF(OR(Q79="",W79=""),"",IF(Q79=W79,"Sama","Beda"))</f>
        <v/>
      </c>
      <c r="AD79" s="9" t="str">
        <f aca="false">IF(OR(R79="",X79=""),"",IF(R79=X79,"Sama","Beda"))</f>
        <v/>
      </c>
      <c r="AE79" s="9" t="n">
        <f aca="false">COUNTIF(Y79:AD79,"Beda")</f>
        <v>0</v>
      </c>
      <c r="AF79" s="14"/>
      <c r="AG79" s="14"/>
      <c r="AH79" s="14"/>
      <c r="AI79" s="14"/>
      <c r="AJ79" s="14"/>
      <c r="AK79" s="14"/>
      <c r="AL79" s="15" t="str">
        <f aca="false">IF(AF79&lt;&gt;"",AF79,IF(AND(M79&lt;&gt;"",M79=S79),M79,""))</f>
        <v/>
      </c>
      <c r="AM79" s="15" t="str">
        <f aca="false">IF(AG79&lt;&gt;"",AG79,IF(AND(N79&lt;&gt;"",N79=T79),N79,""))</f>
        <v/>
      </c>
      <c r="AN79" s="15" t="str">
        <f aca="false">IF(AH79&lt;&gt;"",AH79,IF(AND(O79&lt;&gt;"",O79=U79),O79,""))</f>
        <v/>
      </c>
      <c r="AO79" s="15" t="str">
        <f aca="false">IF(AI79&lt;&gt;"",AI79,IF(AND(P79&lt;&gt;"",P79=V79),P79,""))</f>
        <v/>
      </c>
      <c r="AP79" s="15" t="str">
        <f aca="false">IF(AJ79&lt;&gt;"",AJ79,IF(AND(Q79&lt;&gt;"",Q79=W79),Q79,""))</f>
        <v/>
      </c>
      <c r="AQ79" s="15" t="str">
        <f aca="false">IF(AK79&lt;&gt;"",AK79,IF(AND(R79&lt;&gt;"",R79=X79),R79,""))</f>
        <v/>
      </c>
      <c r="AR79" s="16"/>
      <c r="AS79" s="9" t="str">
        <f aca="false">IF(COUNTA(M79:R79)+COUNTA(S79:X79)&lt;12,"Menunggu coder",IF(AE79=0,"Sepakat",IF(SUMPRODUCT((Y79:AD79="Beda")*(AF79:AK79=""))=0,"Selesai adjudikasi","Perlu adjudikasi")))</f>
        <v>Menunggu coder</v>
      </c>
      <c r="AT79" s="10" t="str">
        <f aca="false">IF(COUNTIF(AL79:AQ79,"?*")&lt;6,"",IF(IF(AND(AM79="R0",AQ79&lt;&gt;"K5"),"R0 harus K5; ","")&amp;IF(AND(AM79="R1",AQ79="K3"),"R1 tidak boleh K3 (fungsional); ","")&amp;IF(AND(AM79="R2",AQ79="K5"),"R2 tidak boleh K5; ","")&amp;IF(AND(AM79="R2",OR(AL79="S6",AL79="S7",AL79="S8")),"R2 tidak boleh S6/S7/S8; ","")&amp;IF(AND(AO79="P9",AN79&lt;&gt;"T17"),"P9 hanya dengan T17; ","")&amp;IF(AND(OR(AN79="T17",AO79="P9"),AM79&lt;&gt;"R0"),"T17/P9 harus R0; ","")&amp;IF(AND(AN79="T01",AO79&lt;&gt;"P6"),"T01 biasanya P6 (periksa); ","")&amp;IF(AND(AO79="P1",AQ79&lt;&gt;"K4"),"P1 biasanya K4 (periksa); ","")="","OK",IF(AND(AM79="R0",AQ79&lt;&gt;"K5"),"R0 harus K5; ","")&amp;IF(AND(AM79="R1",AQ79="K3"),"R1 tidak boleh K3 (fungsional); ","")&amp;IF(AND(AM79="R2",AQ79="K5"),"R2 tidak boleh K5; ","")&amp;IF(AND(AM79="R2",OR(AL79="S6",AL79="S7",AL79="S8")),"R2 tidak boleh S6/S7/S8; ","")&amp;IF(AND(AO79="P9",AN79&lt;&gt;"T17"),"P9 hanya dengan T17; ","")&amp;IF(AND(OR(AN79="T17",AO79="P9"),AM79&lt;&gt;"R0"),"T17/P9 harus R0; ","")&amp;IF(AND(AN79="T01",AO79&lt;&gt;"P6"),"T01 biasanya P6 (periksa); ","")&amp;IF(AND(AO79="P1",AQ79&lt;&gt;"K4"),"P1 biasanya K4 (periksa); ","")))</f>
        <v/>
      </c>
    </row>
    <row r="80" customFormat="false" ht="48" hidden="false" customHeight="true" outlineLevel="0" collapsed="false">
      <c r="A80" s="9" t="n">
        <v>77</v>
      </c>
      <c r="B80" s="10" t="str">
        <f aca="false">IF(INDEX(Korpus!$A:$A,$A80)="","",INDEX(Korpus!$A:$A,$A80))</f>
        <v/>
      </c>
      <c r="C80" s="10" t="str">
        <f aca="false">TRIM(INDEX(Korpus!$D:$D,$A80)&amp;" "&amp;INDEX(Korpus!$E:$E,$A80))</f>
        <v/>
      </c>
      <c r="D80" s="10" t="str">
        <f aca="false">IF(INDEX(Korpus!$B:$B,$A80)="","",INDEX(Korpus!$B:$B,$A80))</f>
        <v/>
      </c>
      <c r="E80" s="10" t="str">
        <f aca="false">IF(INDEX(Korpus!$C:$C,$A80)="","",INDEX(Korpus!$C:$C,$A80))</f>
        <v/>
      </c>
      <c r="F80" s="10" t="str">
        <f aca="false">IF(INDEX(Korpus!$F:$F,$A80)="","",INDEX(Korpus!$F:$F,$A80))</f>
        <v/>
      </c>
      <c r="G80" s="11"/>
      <c r="H80" s="11"/>
      <c r="I80" s="11"/>
      <c r="J80" s="11"/>
      <c r="K80" s="11"/>
      <c r="L80" s="11"/>
      <c r="M80" s="12"/>
      <c r="N80" s="12"/>
      <c r="O80" s="12"/>
      <c r="P80" s="12"/>
      <c r="Q80" s="12"/>
      <c r="R80" s="12"/>
      <c r="S80" s="13"/>
      <c r="T80" s="13"/>
      <c r="U80" s="13"/>
      <c r="V80" s="13"/>
      <c r="W80" s="13"/>
      <c r="X80" s="13"/>
      <c r="Y80" s="9" t="str">
        <f aca="false">IF(OR(M80="",S80=""),"",IF(M80=S80,"Sama","Beda"))</f>
        <v/>
      </c>
      <c r="Z80" s="9" t="str">
        <f aca="false">IF(OR(N80="",T80=""),"",IF(N80=T80,"Sama","Beda"))</f>
        <v/>
      </c>
      <c r="AA80" s="9" t="str">
        <f aca="false">IF(OR(O80="",U80=""),"",IF(O80=U80,"Sama","Beda"))</f>
        <v/>
      </c>
      <c r="AB80" s="9" t="str">
        <f aca="false">IF(OR(P80="",V80=""),"",IF(P80=V80,"Sama","Beda"))</f>
        <v/>
      </c>
      <c r="AC80" s="9" t="str">
        <f aca="false">IF(OR(Q80="",W80=""),"",IF(Q80=W80,"Sama","Beda"))</f>
        <v/>
      </c>
      <c r="AD80" s="9" t="str">
        <f aca="false">IF(OR(R80="",X80=""),"",IF(R80=X80,"Sama","Beda"))</f>
        <v/>
      </c>
      <c r="AE80" s="9" t="n">
        <f aca="false">COUNTIF(Y80:AD80,"Beda")</f>
        <v>0</v>
      </c>
      <c r="AF80" s="14"/>
      <c r="AG80" s="14"/>
      <c r="AH80" s="14"/>
      <c r="AI80" s="14"/>
      <c r="AJ80" s="14"/>
      <c r="AK80" s="14"/>
      <c r="AL80" s="15" t="str">
        <f aca="false">IF(AF80&lt;&gt;"",AF80,IF(AND(M80&lt;&gt;"",M80=S80),M80,""))</f>
        <v/>
      </c>
      <c r="AM80" s="15" t="str">
        <f aca="false">IF(AG80&lt;&gt;"",AG80,IF(AND(N80&lt;&gt;"",N80=T80),N80,""))</f>
        <v/>
      </c>
      <c r="AN80" s="15" t="str">
        <f aca="false">IF(AH80&lt;&gt;"",AH80,IF(AND(O80&lt;&gt;"",O80=U80),O80,""))</f>
        <v/>
      </c>
      <c r="AO80" s="15" t="str">
        <f aca="false">IF(AI80&lt;&gt;"",AI80,IF(AND(P80&lt;&gt;"",P80=V80),P80,""))</f>
        <v/>
      </c>
      <c r="AP80" s="15" t="str">
        <f aca="false">IF(AJ80&lt;&gt;"",AJ80,IF(AND(Q80&lt;&gt;"",Q80=W80),Q80,""))</f>
        <v/>
      </c>
      <c r="AQ80" s="15" t="str">
        <f aca="false">IF(AK80&lt;&gt;"",AK80,IF(AND(R80&lt;&gt;"",R80=X80),R80,""))</f>
        <v/>
      </c>
      <c r="AR80" s="16"/>
      <c r="AS80" s="9" t="str">
        <f aca="false">IF(COUNTA(M80:R80)+COUNTA(S80:X80)&lt;12,"Menunggu coder",IF(AE80=0,"Sepakat",IF(SUMPRODUCT((Y80:AD80="Beda")*(AF80:AK80=""))=0,"Selesai adjudikasi","Perlu adjudikasi")))</f>
        <v>Menunggu coder</v>
      </c>
      <c r="AT80" s="10" t="str">
        <f aca="false">IF(COUNTIF(AL80:AQ80,"?*")&lt;6,"",IF(IF(AND(AM80="R0",AQ80&lt;&gt;"K5"),"R0 harus K5; ","")&amp;IF(AND(AM80="R1",AQ80="K3"),"R1 tidak boleh K3 (fungsional); ","")&amp;IF(AND(AM80="R2",AQ80="K5"),"R2 tidak boleh K5; ","")&amp;IF(AND(AM80="R2",OR(AL80="S6",AL80="S7",AL80="S8")),"R2 tidak boleh S6/S7/S8; ","")&amp;IF(AND(AO80="P9",AN80&lt;&gt;"T17"),"P9 hanya dengan T17; ","")&amp;IF(AND(OR(AN80="T17",AO80="P9"),AM80&lt;&gt;"R0"),"T17/P9 harus R0; ","")&amp;IF(AND(AN80="T01",AO80&lt;&gt;"P6"),"T01 biasanya P6 (periksa); ","")&amp;IF(AND(AO80="P1",AQ80&lt;&gt;"K4"),"P1 biasanya K4 (periksa); ","")="","OK",IF(AND(AM80="R0",AQ80&lt;&gt;"K5"),"R0 harus K5; ","")&amp;IF(AND(AM80="R1",AQ80="K3"),"R1 tidak boleh K3 (fungsional); ","")&amp;IF(AND(AM80="R2",AQ80="K5"),"R2 tidak boleh K5; ","")&amp;IF(AND(AM80="R2",OR(AL80="S6",AL80="S7",AL80="S8")),"R2 tidak boleh S6/S7/S8; ","")&amp;IF(AND(AO80="P9",AN80&lt;&gt;"T17"),"P9 hanya dengan T17; ","")&amp;IF(AND(OR(AN80="T17",AO80="P9"),AM80&lt;&gt;"R0"),"T17/P9 harus R0; ","")&amp;IF(AND(AN80="T01",AO80&lt;&gt;"P6"),"T01 biasanya P6 (periksa); ","")&amp;IF(AND(AO80="P1",AQ80&lt;&gt;"K4"),"P1 biasanya K4 (periksa); ","")))</f>
        <v/>
      </c>
    </row>
    <row r="81" customFormat="false" ht="48" hidden="false" customHeight="true" outlineLevel="0" collapsed="false">
      <c r="A81" s="9" t="n">
        <v>78</v>
      </c>
      <c r="B81" s="10" t="str">
        <f aca="false">IF(INDEX(Korpus!$A:$A,$A81)="","",INDEX(Korpus!$A:$A,$A81))</f>
        <v/>
      </c>
      <c r="C81" s="10" t="str">
        <f aca="false">TRIM(INDEX(Korpus!$D:$D,$A81)&amp;" "&amp;INDEX(Korpus!$E:$E,$A81))</f>
        <v/>
      </c>
      <c r="D81" s="10" t="str">
        <f aca="false">IF(INDEX(Korpus!$B:$B,$A81)="","",INDEX(Korpus!$B:$B,$A81))</f>
        <v/>
      </c>
      <c r="E81" s="10" t="str">
        <f aca="false">IF(INDEX(Korpus!$C:$C,$A81)="","",INDEX(Korpus!$C:$C,$A81))</f>
        <v/>
      </c>
      <c r="F81" s="10" t="str">
        <f aca="false">IF(INDEX(Korpus!$F:$F,$A81)="","",INDEX(Korpus!$F:$F,$A81))</f>
        <v/>
      </c>
      <c r="G81" s="11"/>
      <c r="H81" s="11"/>
      <c r="I81" s="11"/>
      <c r="J81" s="11"/>
      <c r="K81" s="11"/>
      <c r="L81" s="11"/>
      <c r="M81" s="12"/>
      <c r="N81" s="12"/>
      <c r="O81" s="12"/>
      <c r="P81" s="12"/>
      <c r="Q81" s="12"/>
      <c r="R81" s="12"/>
      <c r="S81" s="13"/>
      <c r="T81" s="13"/>
      <c r="U81" s="13"/>
      <c r="V81" s="13"/>
      <c r="W81" s="13"/>
      <c r="X81" s="13"/>
      <c r="Y81" s="9" t="str">
        <f aca="false">IF(OR(M81="",S81=""),"",IF(M81=S81,"Sama","Beda"))</f>
        <v/>
      </c>
      <c r="Z81" s="9" t="str">
        <f aca="false">IF(OR(N81="",T81=""),"",IF(N81=T81,"Sama","Beda"))</f>
        <v/>
      </c>
      <c r="AA81" s="9" t="str">
        <f aca="false">IF(OR(O81="",U81=""),"",IF(O81=U81,"Sama","Beda"))</f>
        <v/>
      </c>
      <c r="AB81" s="9" t="str">
        <f aca="false">IF(OR(P81="",V81=""),"",IF(P81=V81,"Sama","Beda"))</f>
        <v/>
      </c>
      <c r="AC81" s="9" t="str">
        <f aca="false">IF(OR(Q81="",W81=""),"",IF(Q81=W81,"Sama","Beda"))</f>
        <v/>
      </c>
      <c r="AD81" s="9" t="str">
        <f aca="false">IF(OR(R81="",X81=""),"",IF(R81=X81,"Sama","Beda"))</f>
        <v/>
      </c>
      <c r="AE81" s="9" t="n">
        <f aca="false">COUNTIF(Y81:AD81,"Beda")</f>
        <v>0</v>
      </c>
      <c r="AF81" s="14"/>
      <c r="AG81" s="14"/>
      <c r="AH81" s="14"/>
      <c r="AI81" s="14"/>
      <c r="AJ81" s="14"/>
      <c r="AK81" s="14"/>
      <c r="AL81" s="15" t="str">
        <f aca="false">IF(AF81&lt;&gt;"",AF81,IF(AND(M81&lt;&gt;"",M81=S81),M81,""))</f>
        <v/>
      </c>
      <c r="AM81" s="15" t="str">
        <f aca="false">IF(AG81&lt;&gt;"",AG81,IF(AND(N81&lt;&gt;"",N81=T81),N81,""))</f>
        <v/>
      </c>
      <c r="AN81" s="15" t="str">
        <f aca="false">IF(AH81&lt;&gt;"",AH81,IF(AND(O81&lt;&gt;"",O81=U81),O81,""))</f>
        <v/>
      </c>
      <c r="AO81" s="15" t="str">
        <f aca="false">IF(AI81&lt;&gt;"",AI81,IF(AND(P81&lt;&gt;"",P81=V81),P81,""))</f>
        <v/>
      </c>
      <c r="AP81" s="15" t="str">
        <f aca="false">IF(AJ81&lt;&gt;"",AJ81,IF(AND(Q81&lt;&gt;"",Q81=W81),Q81,""))</f>
        <v/>
      </c>
      <c r="AQ81" s="15" t="str">
        <f aca="false">IF(AK81&lt;&gt;"",AK81,IF(AND(R81&lt;&gt;"",R81=X81),R81,""))</f>
        <v/>
      </c>
      <c r="AR81" s="16"/>
      <c r="AS81" s="9" t="str">
        <f aca="false">IF(COUNTA(M81:R81)+COUNTA(S81:X81)&lt;12,"Menunggu coder",IF(AE81=0,"Sepakat",IF(SUMPRODUCT((Y81:AD81="Beda")*(AF81:AK81=""))=0,"Selesai adjudikasi","Perlu adjudikasi")))</f>
        <v>Menunggu coder</v>
      </c>
      <c r="AT81" s="10" t="str">
        <f aca="false">IF(COUNTIF(AL81:AQ81,"?*")&lt;6,"",IF(IF(AND(AM81="R0",AQ81&lt;&gt;"K5"),"R0 harus K5; ","")&amp;IF(AND(AM81="R1",AQ81="K3"),"R1 tidak boleh K3 (fungsional); ","")&amp;IF(AND(AM81="R2",AQ81="K5"),"R2 tidak boleh K5; ","")&amp;IF(AND(AM81="R2",OR(AL81="S6",AL81="S7",AL81="S8")),"R2 tidak boleh S6/S7/S8; ","")&amp;IF(AND(AO81="P9",AN81&lt;&gt;"T17"),"P9 hanya dengan T17; ","")&amp;IF(AND(OR(AN81="T17",AO81="P9"),AM81&lt;&gt;"R0"),"T17/P9 harus R0; ","")&amp;IF(AND(AN81="T01",AO81&lt;&gt;"P6"),"T01 biasanya P6 (periksa); ","")&amp;IF(AND(AO81="P1",AQ81&lt;&gt;"K4"),"P1 biasanya K4 (periksa); ","")="","OK",IF(AND(AM81="R0",AQ81&lt;&gt;"K5"),"R0 harus K5; ","")&amp;IF(AND(AM81="R1",AQ81="K3"),"R1 tidak boleh K3 (fungsional); ","")&amp;IF(AND(AM81="R2",AQ81="K5"),"R2 tidak boleh K5; ","")&amp;IF(AND(AM81="R2",OR(AL81="S6",AL81="S7",AL81="S8")),"R2 tidak boleh S6/S7/S8; ","")&amp;IF(AND(AO81="P9",AN81&lt;&gt;"T17"),"P9 hanya dengan T17; ","")&amp;IF(AND(OR(AN81="T17",AO81="P9"),AM81&lt;&gt;"R0"),"T17/P9 harus R0; ","")&amp;IF(AND(AN81="T01",AO81&lt;&gt;"P6"),"T01 biasanya P6 (periksa); ","")&amp;IF(AND(AO81="P1",AQ81&lt;&gt;"K4"),"P1 biasanya K4 (periksa); ","")))</f>
        <v/>
      </c>
    </row>
    <row r="82" customFormat="false" ht="48" hidden="false" customHeight="true" outlineLevel="0" collapsed="false">
      <c r="A82" s="9" t="n">
        <v>79</v>
      </c>
      <c r="B82" s="10" t="str">
        <f aca="false">IF(INDEX(Korpus!$A:$A,$A82)="","",INDEX(Korpus!$A:$A,$A82))</f>
        <v/>
      </c>
      <c r="C82" s="10" t="str">
        <f aca="false">TRIM(INDEX(Korpus!$D:$D,$A82)&amp;" "&amp;INDEX(Korpus!$E:$E,$A82))</f>
        <v/>
      </c>
      <c r="D82" s="10" t="str">
        <f aca="false">IF(INDEX(Korpus!$B:$B,$A82)="","",INDEX(Korpus!$B:$B,$A82))</f>
        <v/>
      </c>
      <c r="E82" s="10" t="str">
        <f aca="false">IF(INDEX(Korpus!$C:$C,$A82)="","",INDEX(Korpus!$C:$C,$A82))</f>
        <v/>
      </c>
      <c r="F82" s="10" t="str">
        <f aca="false">IF(INDEX(Korpus!$F:$F,$A82)="","",INDEX(Korpus!$F:$F,$A82))</f>
        <v/>
      </c>
      <c r="G82" s="11"/>
      <c r="H82" s="11"/>
      <c r="I82" s="11"/>
      <c r="J82" s="11"/>
      <c r="K82" s="11"/>
      <c r="L82" s="11"/>
      <c r="M82" s="12"/>
      <c r="N82" s="12"/>
      <c r="O82" s="12"/>
      <c r="P82" s="12"/>
      <c r="Q82" s="12"/>
      <c r="R82" s="12"/>
      <c r="S82" s="13"/>
      <c r="T82" s="13"/>
      <c r="U82" s="13"/>
      <c r="V82" s="13"/>
      <c r="W82" s="13"/>
      <c r="X82" s="13"/>
      <c r="Y82" s="9" t="str">
        <f aca="false">IF(OR(M82="",S82=""),"",IF(M82=S82,"Sama","Beda"))</f>
        <v/>
      </c>
      <c r="Z82" s="9" t="str">
        <f aca="false">IF(OR(N82="",T82=""),"",IF(N82=T82,"Sama","Beda"))</f>
        <v/>
      </c>
      <c r="AA82" s="9" t="str">
        <f aca="false">IF(OR(O82="",U82=""),"",IF(O82=U82,"Sama","Beda"))</f>
        <v/>
      </c>
      <c r="AB82" s="9" t="str">
        <f aca="false">IF(OR(P82="",V82=""),"",IF(P82=V82,"Sama","Beda"))</f>
        <v/>
      </c>
      <c r="AC82" s="9" t="str">
        <f aca="false">IF(OR(Q82="",W82=""),"",IF(Q82=W82,"Sama","Beda"))</f>
        <v/>
      </c>
      <c r="AD82" s="9" t="str">
        <f aca="false">IF(OR(R82="",X82=""),"",IF(R82=X82,"Sama","Beda"))</f>
        <v/>
      </c>
      <c r="AE82" s="9" t="n">
        <f aca="false">COUNTIF(Y82:AD82,"Beda")</f>
        <v>0</v>
      </c>
      <c r="AF82" s="14"/>
      <c r="AG82" s="14"/>
      <c r="AH82" s="14"/>
      <c r="AI82" s="14"/>
      <c r="AJ82" s="14"/>
      <c r="AK82" s="14"/>
      <c r="AL82" s="15" t="str">
        <f aca="false">IF(AF82&lt;&gt;"",AF82,IF(AND(M82&lt;&gt;"",M82=S82),M82,""))</f>
        <v/>
      </c>
      <c r="AM82" s="15" t="str">
        <f aca="false">IF(AG82&lt;&gt;"",AG82,IF(AND(N82&lt;&gt;"",N82=T82),N82,""))</f>
        <v/>
      </c>
      <c r="AN82" s="15" t="str">
        <f aca="false">IF(AH82&lt;&gt;"",AH82,IF(AND(O82&lt;&gt;"",O82=U82),O82,""))</f>
        <v/>
      </c>
      <c r="AO82" s="15" t="str">
        <f aca="false">IF(AI82&lt;&gt;"",AI82,IF(AND(P82&lt;&gt;"",P82=V82),P82,""))</f>
        <v/>
      </c>
      <c r="AP82" s="15" t="str">
        <f aca="false">IF(AJ82&lt;&gt;"",AJ82,IF(AND(Q82&lt;&gt;"",Q82=W82),Q82,""))</f>
        <v/>
      </c>
      <c r="AQ82" s="15" t="str">
        <f aca="false">IF(AK82&lt;&gt;"",AK82,IF(AND(R82&lt;&gt;"",R82=X82),R82,""))</f>
        <v/>
      </c>
      <c r="AR82" s="16"/>
      <c r="AS82" s="9" t="str">
        <f aca="false">IF(COUNTA(M82:R82)+COUNTA(S82:X82)&lt;12,"Menunggu coder",IF(AE82=0,"Sepakat",IF(SUMPRODUCT((Y82:AD82="Beda")*(AF82:AK82=""))=0,"Selesai adjudikasi","Perlu adjudikasi")))</f>
        <v>Menunggu coder</v>
      </c>
      <c r="AT82" s="10" t="str">
        <f aca="false">IF(COUNTIF(AL82:AQ82,"?*")&lt;6,"",IF(IF(AND(AM82="R0",AQ82&lt;&gt;"K5"),"R0 harus K5; ","")&amp;IF(AND(AM82="R1",AQ82="K3"),"R1 tidak boleh K3 (fungsional); ","")&amp;IF(AND(AM82="R2",AQ82="K5"),"R2 tidak boleh K5; ","")&amp;IF(AND(AM82="R2",OR(AL82="S6",AL82="S7",AL82="S8")),"R2 tidak boleh S6/S7/S8; ","")&amp;IF(AND(AO82="P9",AN82&lt;&gt;"T17"),"P9 hanya dengan T17; ","")&amp;IF(AND(OR(AN82="T17",AO82="P9"),AM82&lt;&gt;"R0"),"T17/P9 harus R0; ","")&amp;IF(AND(AN82="T01",AO82&lt;&gt;"P6"),"T01 biasanya P6 (periksa); ","")&amp;IF(AND(AO82="P1",AQ82&lt;&gt;"K4"),"P1 biasanya K4 (periksa); ","")="","OK",IF(AND(AM82="R0",AQ82&lt;&gt;"K5"),"R0 harus K5; ","")&amp;IF(AND(AM82="R1",AQ82="K3"),"R1 tidak boleh K3 (fungsional); ","")&amp;IF(AND(AM82="R2",AQ82="K5"),"R2 tidak boleh K5; ","")&amp;IF(AND(AM82="R2",OR(AL82="S6",AL82="S7",AL82="S8")),"R2 tidak boleh S6/S7/S8; ","")&amp;IF(AND(AO82="P9",AN82&lt;&gt;"T17"),"P9 hanya dengan T17; ","")&amp;IF(AND(OR(AN82="T17",AO82="P9"),AM82&lt;&gt;"R0"),"T17/P9 harus R0; ","")&amp;IF(AND(AN82="T01",AO82&lt;&gt;"P6"),"T01 biasanya P6 (periksa); ","")&amp;IF(AND(AO82="P1",AQ82&lt;&gt;"K4"),"P1 biasanya K4 (periksa); ","")))</f>
        <v/>
      </c>
    </row>
    <row r="83" customFormat="false" ht="48" hidden="false" customHeight="true" outlineLevel="0" collapsed="false">
      <c r="A83" s="9" t="n">
        <v>80</v>
      </c>
      <c r="B83" s="10" t="str">
        <f aca="false">IF(INDEX(Korpus!$A:$A,$A83)="","",INDEX(Korpus!$A:$A,$A83))</f>
        <v/>
      </c>
      <c r="C83" s="10" t="str">
        <f aca="false">TRIM(INDEX(Korpus!$D:$D,$A83)&amp;" "&amp;INDEX(Korpus!$E:$E,$A83))</f>
        <v/>
      </c>
      <c r="D83" s="10" t="str">
        <f aca="false">IF(INDEX(Korpus!$B:$B,$A83)="","",INDEX(Korpus!$B:$B,$A83))</f>
        <v/>
      </c>
      <c r="E83" s="10" t="str">
        <f aca="false">IF(INDEX(Korpus!$C:$C,$A83)="","",INDEX(Korpus!$C:$C,$A83))</f>
        <v/>
      </c>
      <c r="F83" s="10" t="str">
        <f aca="false">IF(INDEX(Korpus!$F:$F,$A83)="","",INDEX(Korpus!$F:$F,$A83))</f>
        <v/>
      </c>
      <c r="G83" s="11"/>
      <c r="H83" s="11"/>
      <c r="I83" s="11"/>
      <c r="J83" s="11"/>
      <c r="K83" s="11"/>
      <c r="L83" s="11"/>
      <c r="M83" s="12"/>
      <c r="N83" s="12"/>
      <c r="O83" s="12"/>
      <c r="P83" s="12"/>
      <c r="Q83" s="12"/>
      <c r="R83" s="12"/>
      <c r="S83" s="13"/>
      <c r="T83" s="13"/>
      <c r="U83" s="13"/>
      <c r="V83" s="13"/>
      <c r="W83" s="13"/>
      <c r="X83" s="13"/>
      <c r="Y83" s="9" t="str">
        <f aca="false">IF(OR(M83="",S83=""),"",IF(M83=S83,"Sama","Beda"))</f>
        <v/>
      </c>
      <c r="Z83" s="9" t="str">
        <f aca="false">IF(OR(N83="",T83=""),"",IF(N83=T83,"Sama","Beda"))</f>
        <v/>
      </c>
      <c r="AA83" s="9" t="str">
        <f aca="false">IF(OR(O83="",U83=""),"",IF(O83=U83,"Sama","Beda"))</f>
        <v/>
      </c>
      <c r="AB83" s="9" t="str">
        <f aca="false">IF(OR(P83="",V83=""),"",IF(P83=V83,"Sama","Beda"))</f>
        <v/>
      </c>
      <c r="AC83" s="9" t="str">
        <f aca="false">IF(OR(Q83="",W83=""),"",IF(Q83=W83,"Sama","Beda"))</f>
        <v/>
      </c>
      <c r="AD83" s="9" t="str">
        <f aca="false">IF(OR(R83="",X83=""),"",IF(R83=X83,"Sama","Beda"))</f>
        <v/>
      </c>
      <c r="AE83" s="9" t="n">
        <f aca="false">COUNTIF(Y83:AD83,"Beda")</f>
        <v>0</v>
      </c>
      <c r="AF83" s="14"/>
      <c r="AG83" s="14"/>
      <c r="AH83" s="14"/>
      <c r="AI83" s="14"/>
      <c r="AJ83" s="14"/>
      <c r="AK83" s="14"/>
      <c r="AL83" s="15" t="str">
        <f aca="false">IF(AF83&lt;&gt;"",AF83,IF(AND(M83&lt;&gt;"",M83=S83),M83,""))</f>
        <v/>
      </c>
      <c r="AM83" s="15" t="str">
        <f aca="false">IF(AG83&lt;&gt;"",AG83,IF(AND(N83&lt;&gt;"",N83=T83),N83,""))</f>
        <v/>
      </c>
      <c r="AN83" s="15" t="str">
        <f aca="false">IF(AH83&lt;&gt;"",AH83,IF(AND(O83&lt;&gt;"",O83=U83),O83,""))</f>
        <v/>
      </c>
      <c r="AO83" s="15" t="str">
        <f aca="false">IF(AI83&lt;&gt;"",AI83,IF(AND(P83&lt;&gt;"",P83=V83),P83,""))</f>
        <v/>
      </c>
      <c r="AP83" s="15" t="str">
        <f aca="false">IF(AJ83&lt;&gt;"",AJ83,IF(AND(Q83&lt;&gt;"",Q83=W83),Q83,""))</f>
        <v/>
      </c>
      <c r="AQ83" s="15" t="str">
        <f aca="false">IF(AK83&lt;&gt;"",AK83,IF(AND(R83&lt;&gt;"",R83=X83),R83,""))</f>
        <v/>
      </c>
      <c r="AR83" s="16"/>
      <c r="AS83" s="9" t="str">
        <f aca="false">IF(COUNTA(M83:R83)+COUNTA(S83:X83)&lt;12,"Menunggu coder",IF(AE83=0,"Sepakat",IF(SUMPRODUCT((Y83:AD83="Beda")*(AF83:AK83=""))=0,"Selesai adjudikasi","Perlu adjudikasi")))</f>
        <v>Menunggu coder</v>
      </c>
      <c r="AT83" s="10" t="str">
        <f aca="false">IF(COUNTIF(AL83:AQ83,"?*")&lt;6,"",IF(IF(AND(AM83="R0",AQ83&lt;&gt;"K5"),"R0 harus K5; ","")&amp;IF(AND(AM83="R1",AQ83="K3"),"R1 tidak boleh K3 (fungsional); ","")&amp;IF(AND(AM83="R2",AQ83="K5"),"R2 tidak boleh K5; ","")&amp;IF(AND(AM83="R2",OR(AL83="S6",AL83="S7",AL83="S8")),"R2 tidak boleh S6/S7/S8; ","")&amp;IF(AND(AO83="P9",AN83&lt;&gt;"T17"),"P9 hanya dengan T17; ","")&amp;IF(AND(OR(AN83="T17",AO83="P9"),AM83&lt;&gt;"R0"),"T17/P9 harus R0; ","")&amp;IF(AND(AN83="T01",AO83&lt;&gt;"P6"),"T01 biasanya P6 (periksa); ","")&amp;IF(AND(AO83="P1",AQ83&lt;&gt;"K4"),"P1 biasanya K4 (periksa); ","")="","OK",IF(AND(AM83="R0",AQ83&lt;&gt;"K5"),"R0 harus K5; ","")&amp;IF(AND(AM83="R1",AQ83="K3"),"R1 tidak boleh K3 (fungsional); ","")&amp;IF(AND(AM83="R2",AQ83="K5"),"R2 tidak boleh K5; ","")&amp;IF(AND(AM83="R2",OR(AL83="S6",AL83="S7",AL83="S8")),"R2 tidak boleh S6/S7/S8; ","")&amp;IF(AND(AO83="P9",AN83&lt;&gt;"T17"),"P9 hanya dengan T17; ","")&amp;IF(AND(OR(AN83="T17",AO83="P9"),AM83&lt;&gt;"R0"),"T17/P9 harus R0; ","")&amp;IF(AND(AN83="T01",AO83&lt;&gt;"P6"),"T01 biasanya P6 (periksa); ","")&amp;IF(AND(AO83="P1",AQ83&lt;&gt;"K4"),"P1 biasanya K4 (periksa); ","")))</f>
        <v/>
      </c>
    </row>
    <row r="84" customFormat="false" ht="48" hidden="false" customHeight="true" outlineLevel="0" collapsed="false">
      <c r="A84" s="9" t="n">
        <v>81</v>
      </c>
      <c r="B84" s="10" t="str">
        <f aca="false">IF(INDEX(Korpus!$A:$A,$A84)="","",INDEX(Korpus!$A:$A,$A84))</f>
        <v/>
      </c>
      <c r="C84" s="10" t="str">
        <f aca="false">TRIM(INDEX(Korpus!$D:$D,$A84)&amp;" "&amp;INDEX(Korpus!$E:$E,$A84))</f>
        <v/>
      </c>
      <c r="D84" s="10" t="str">
        <f aca="false">IF(INDEX(Korpus!$B:$B,$A84)="","",INDEX(Korpus!$B:$B,$A84))</f>
        <v/>
      </c>
      <c r="E84" s="10" t="str">
        <f aca="false">IF(INDEX(Korpus!$C:$C,$A84)="","",INDEX(Korpus!$C:$C,$A84))</f>
        <v/>
      </c>
      <c r="F84" s="10" t="str">
        <f aca="false">IF(INDEX(Korpus!$F:$F,$A84)="","",INDEX(Korpus!$F:$F,$A84))</f>
        <v/>
      </c>
      <c r="G84" s="11"/>
      <c r="H84" s="11"/>
      <c r="I84" s="11"/>
      <c r="J84" s="11"/>
      <c r="K84" s="11"/>
      <c r="L84" s="11"/>
      <c r="M84" s="12"/>
      <c r="N84" s="12"/>
      <c r="O84" s="12"/>
      <c r="P84" s="12"/>
      <c r="Q84" s="12"/>
      <c r="R84" s="12"/>
      <c r="S84" s="13"/>
      <c r="T84" s="13"/>
      <c r="U84" s="13"/>
      <c r="V84" s="13"/>
      <c r="W84" s="13"/>
      <c r="X84" s="13"/>
      <c r="Y84" s="9" t="str">
        <f aca="false">IF(OR(M84="",S84=""),"",IF(M84=S84,"Sama","Beda"))</f>
        <v/>
      </c>
      <c r="Z84" s="9" t="str">
        <f aca="false">IF(OR(N84="",T84=""),"",IF(N84=T84,"Sama","Beda"))</f>
        <v/>
      </c>
      <c r="AA84" s="9" t="str">
        <f aca="false">IF(OR(O84="",U84=""),"",IF(O84=U84,"Sama","Beda"))</f>
        <v/>
      </c>
      <c r="AB84" s="9" t="str">
        <f aca="false">IF(OR(P84="",V84=""),"",IF(P84=V84,"Sama","Beda"))</f>
        <v/>
      </c>
      <c r="AC84" s="9" t="str">
        <f aca="false">IF(OR(Q84="",W84=""),"",IF(Q84=W84,"Sama","Beda"))</f>
        <v/>
      </c>
      <c r="AD84" s="9" t="str">
        <f aca="false">IF(OR(R84="",X84=""),"",IF(R84=X84,"Sama","Beda"))</f>
        <v/>
      </c>
      <c r="AE84" s="9" t="n">
        <f aca="false">COUNTIF(Y84:AD84,"Beda")</f>
        <v>0</v>
      </c>
      <c r="AF84" s="14"/>
      <c r="AG84" s="14"/>
      <c r="AH84" s="14"/>
      <c r="AI84" s="14"/>
      <c r="AJ84" s="14"/>
      <c r="AK84" s="14"/>
      <c r="AL84" s="15" t="str">
        <f aca="false">IF(AF84&lt;&gt;"",AF84,IF(AND(M84&lt;&gt;"",M84=S84),M84,""))</f>
        <v/>
      </c>
      <c r="AM84" s="15" t="str">
        <f aca="false">IF(AG84&lt;&gt;"",AG84,IF(AND(N84&lt;&gt;"",N84=T84),N84,""))</f>
        <v/>
      </c>
      <c r="AN84" s="15" t="str">
        <f aca="false">IF(AH84&lt;&gt;"",AH84,IF(AND(O84&lt;&gt;"",O84=U84),O84,""))</f>
        <v/>
      </c>
      <c r="AO84" s="15" t="str">
        <f aca="false">IF(AI84&lt;&gt;"",AI84,IF(AND(P84&lt;&gt;"",P84=V84),P84,""))</f>
        <v/>
      </c>
      <c r="AP84" s="15" t="str">
        <f aca="false">IF(AJ84&lt;&gt;"",AJ84,IF(AND(Q84&lt;&gt;"",Q84=W84),Q84,""))</f>
        <v/>
      </c>
      <c r="AQ84" s="15" t="str">
        <f aca="false">IF(AK84&lt;&gt;"",AK84,IF(AND(R84&lt;&gt;"",R84=X84),R84,""))</f>
        <v/>
      </c>
      <c r="AR84" s="16"/>
      <c r="AS84" s="9" t="str">
        <f aca="false">IF(COUNTA(M84:R84)+COUNTA(S84:X84)&lt;12,"Menunggu coder",IF(AE84=0,"Sepakat",IF(SUMPRODUCT((Y84:AD84="Beda")*(AF84:AK84=""))=0,"Selesai adjudikasi","Perlu adjudikasi")))</f>
        <v>Menunggu coder</v>
      </c>
      <c r="AT84" s="10" t="str">
        <f aca="false">IF(COUNTIF(AL84:AQ84,"?*")&lt;6,"",IF(IF(AND(AM84="R0",AQ84&lt;&gt;"K5"),"R0 harus K5; ","")&amp;IF(AND(AM84="R1",AQ84="K3"),"R1 tidak boleh K3 (fungsional); ","")&amp;IF(AND(AM84="R2",AQ84="K5"),"R2 tidak boleh K5; ","")&amp;IF(AND(AM84="R2",OR(AL84="S6",AL84="S7",AL84="S8")),"R2 tidak boleh S6/S7/S8; ","")&amp;IF(AND(AO84="P9",AN84&lt;&gt;"T17"),"P9 hanya dengan T17; ","")&amp;IF(AND(OR(AN84="T17",AO84="P9"),AM84&lt;&gt;"R0"),"T17/P9 harus R0; ","")&amp;IF(AND(AN84="T01",AO84&lt;&gt;"P6"),"T01 biasanya P6 (periksa); ","")&amp;IF(AND(AO84="P1",AQ84&lt;&gt;"K4"),"P1 biasanya K4 (periksa); ","")="","OK",IF(AND(AM84="R0",AQ84&lt;&gt;"K5"),"R0 harus K5; ","")&amp;IF(AND(AM84="R1",AQ84="K3"),"R1 tidak boleh K3 (fungsional); ","")&amp;IF(AND(AM84="R2",AQ84="K5"),"R2 tidak boleh K5; ","")&amp;IF(AND(AM84="R2",OR(AL84="S6",AL84="S7",AL84="S8")),"R2 tidak boleh S6/S7/S8; ","")&amp;IF(AND(AO84="P9",AN84&lt;&gt;"T17"),"P9 hanya dengan T17; ","")&amp;IF(AND(OR(AN84="T17",AO84="P9"),AM84&lt;&gt;"R0"),"T17/P9 harus R0; ","")&amp;IF(AND(AN84="T01",AO84&lt;&gt;"P6"),"T01 biasanya P6 (periksa); ","")&amp;IF(AND(AO84="P1",AQ84&lt;&gt;"K4"),"P1 biasanya K4 (periksa); ","")))</f>
        <v/>
      </c>
    </row>
    <row r="85" customFormat="false" ht="48" hidden="false" customHeight="true" outlineLevel="0" collapsed="false">
      <c r="A85" s="9" t="n">
        <v>82</v>
      </c>
      <c r="B85" s="10" t="str">
        <f aca="false">IF(INDEX(Korpus!$A:$A,$A85)="","",INDEX(Korpus!$A:$A,$A85))</f>
        <v/>
      </c>
      <c r="C85" s="10" t="str">
        <f aca="false">TRIM(INDEX(Korpus!$D:$D,$A85)&amp;" "&amp;INDEX(Korpus!$E:$E,$A85))</f>
        <v/>
      </c>
      <c r="D85" s="10" t="str">
        <f aca="false">IF(INDEX(Korpus!$B:$B,$A85)="","",INDEX(Korpus!$B:$B,$A85))</f>
        <v/>
      </c>
      <c r="E85" s="10" t="str">
        <f aca="false">IF(INDEX(Korpus!$C:$C,$A85)="","",INDEX(Korpus!$C:$C,$A85))</f>
        <v/>
      </c>
      <c r="F85" s="10" t="str">
        <f aca="false">IF(INDEX(Korpus!$F:$F,$A85)="","",INDEX(Korpus!$F:$F,$A85))</f>
        <v/>
      </c>
      <c r="G85" s="11"/>
      <c r="H85" s="11"/>
      <c r="I85" s="11"/>
      <c r="J85" s="11"/>
      <c r="K85" s="11"/>
      <c r="L85" s="11"/>
      <c r="M85" s="12"/>
      <c r="N85" s="12"/>
      <c r="O85" s="12"/>
      <c r="P85" s="12"/>
      <c r="Q85" s="12"/>
      <c r="R85" s="12"/>
      <c r="S85" s="13"/>
      <c r="T85" s="13"/>
      <c r="U85" s="13"/>
      <c r="V85" s="13"/>
      <c r="W85" s="13"/>
      <c r="X85" s="13"/>
      <c r="Y85" s="9" t="str">
        <f aca="false">IF(OR(M85="",S85=""),"",IF(M85=S85,"Sama","Beda"))</f>
        <v/>
      </c>
      <c r="Z85" s="9" t="str">
        <f aca="false">IF(OR(N85="",T85=""),"",IF(N85=T85,"Sama","Beda"))</f>
        <v/>
      </c>
      <c r="AA85" s="9" t="str">
        <f aca="false">IF(OR(O85="",U85=""),"",IF(O85=U85,"Sama","Beda"))</f>
        <v/>
      </c>
      <c r="AB85" s="9" t="str">
        <f aca="false">IF(OR(P85="",V85=""),"",IF(P85=V85,"Sama","Beda"))</f>
        <v/>
      </c>
      <c r="AC85" s="9" t="str">
        <f aca="false">IF(OR(Q85="",W85=""),"",IF(Q85=W85,"Sama","Beda"))</f>
        <v/>
      </c>
      <c r="AD85" s="9" t="str">
        <f aca="false">IF(OR(R85="",X85=""),"",IF(R85=X85,"Sama","Beda"))</f>
        <v/>
      </c>
      <c r="AE85" s="9" t="n">
        <f aca="false">COUNTIF(Y85:AD85,"Beda")</f>
        <v>0</v>
      </c>
      <c r="AF85" s="14"/>
      <c r="AG85" s="14"/>
      <c r="AH85" s="14"/>
      <c r="AI85" s="14"/>
      <c r="AJ85" s="14"/>
      <c r="AK85" s="14"/>
      <c r="AL85" s="15" t="str">
        <f aca="false">IF(AF85&lt;&gt;"",AF85,IF(AND(M85&lt;&gt;"",M85=S85),M85,""))</f>
        <v/>
      </c>
      <c r="AM85" s="15" t="str">
        <f aca="false">IF(AG85&lt;&gt;"",AG85,IF(AND(N85&lt;&gt;"",N85=T85),N85,""))</f>
        <v/>
      </c>
      <c r="AN85" s="15" t="str">
        <f aca="false">IF(AH85&lt;&gt;"",AH85,IF(AND(O85&lt;&gt;"",O85=U85),O85,""))</f>
        <v/>
      </c>
      <c r="AO85" s="15" t="str">
        <f aca="false">IF(AI85&lt;&gt;"",AI85,IF(AND(P85&lt;&gt;"",P85=V85),P85,""))</f>
        <v/>
      </c>
      <c r="AP85" s="15" t="str">
        <f aca="false">IF(AJ85&lt;&gt;"",AJ85,IF(AND(Q85&lt;&gt;"",Q85=W85),Q85,""))</f>
        <v/>
      </c>
      <c r="AQ85" s="15" t="str">
        <f aca="false">IF(AK85&lt;&gt;"",AK85,IF(AND(R85&lt;&gt;"",R85=X85),R85,""))</f>
        <v/>
      </c>
      <c r="AR85" s="16"/>
      <c r="AS85" s="9" t="str">
        <f aca="false">IF(COUNTA(M85:R85)+COUNTA(S85:X85)&lt;12,"Menunggu coder",IF(AE85=0,"Sepakat",IF(SUMPRODUCT((Y85:AD85="Beda")*(AF85:AK85=""))=0,"Selesai adjudikasi","Perlu adjudikasi")))</f>
        <v>Menunggu coder</v>
      </c>
      <c r="AT85" s="10" t="str">
        <f aca="false">IF(COUNTIF(AL85:AQ85,"?*")&lt;6,"",IF(IF(AND(AM85="R0",AQ85&lt;&gt;"K5"),"R0 harus K5; ","")&amp;IF(AND(AM85="R1",AQ85="K3"),"R1 tidak boleh K3 (fungsional); ","")&amp;IF(AND(AM85="R2",AQ85="K5"),"R2 tidak boleh K5; ","")&amp;IF(AND(AM85="R2",OR(AL85="S6",AL85="S7",AL85="S8")),"R2 tidak boleh S6/S7/S8; ","")&amp;IF(AND(AO85="P9",AN85&lt;&gt;"T17"),"P9 hanya dengan T17; ","")&amp;IF(AND(OR(AN85="T17",AO85="P9"),AM85&lt;&gt;"R0"),"T17/P9 harus R0; ","")&amp;IF(AND(AN85="T01",AO85&lt;&gt;"P6"),"T01 biasanya P6 (periksa); ","")&amp;IF(AND(AO85="P1",AQ85&lt;&gt;"K4"),"P1 biasanya K4 (periksa); ","")="","OK",IF(AND(AM85="R0",AQ85&lt;&gt;"K5"),"R0 harus K5; ","")&amp;IF(AND(AM85="R1",AQ85="K3"),"R1 tidak boleh K3 (fungsional); ","")&amp;IF(AND(AM85="R2",AQ85="K5"),"R2 tidak boleh K5; ","")&amp;IF(AND(AM85="R2",OR(AL85="S6",AL85="S7",AL85="S8")),"R2 tidak boleh S6/S7/S8; ","")&amp;IF(AND(AO85="P9",AN85&lt;&gt;"T17"),"P9 hanya dengan T17; ","")&amp;IF(AND(OR(AN85="T17",AO85="P9"),AM85&lt;&gt;"R0"),"T17/P9 harus R0; ","")&amp;IF(AND(AN85="T01",AO85&lt;&gt;"P6"),"T01 biasanya P6 (periksa); ","")&amp;IF(AND(AO85="P1",AQ85&lt;&gt;"K4"),"P1 biasanya K4 (periksa); ","")))</f>
        <v/>
      </c>
    </row>
    <row r="86" customFormat="false" ht="48" hidden="false" customHeight="true" outlineLevel="0" collapsed="false">
      <c r="A86" s="9" t="n">
        <v>83</v>
      </c>
      <c r="B86" s="10" t="str">
        <f aca="false">IF(INDEX(Korpus!$A:$A,$A86)="","",INDEX(Korpus!$A:$A,$A86))</f>
        <v/>
      </c>
      <c r="C86" s="10" t="str">
        <f aca="false">TRIM(INDEX(Korpus!$D:$D,$A86)&amp;" "&amp;INDEX(Korpus!$E:$E,$A86))</f>
        <v/>
      </c>
      <c r="D86" s="10" t="str">
        <f aca="false">IF(INDEX(Korpus!$B:$B,$A86)="","",INDEX(Korpus!$B:$B,$A86))</f>
        <v/>
      </c>
      <c r="E86" s="10" t="str">
        <f aca="false">IF(INDEX(Korpus!$C:$C,$A86)="","",INDEX(Korpus!$C:$C,$A86))</f>
        <v/>
      </c>
      <c r="F86" s="10" t="str">
        <f aca="false">IF(INDEX(Korpus!$F:$F,$A86)="","",INDEX(Korpus!$F:$F,$A86))</f>
        <v/>
      </c>
      <c r="G86" s="11" t="s">
        <v>112</v>
      </c>
      <c r="H86" s="11" t="s">
        <v>101</v>
      </c>
      <c r="I86" s="11" t="s">
        <v>113</v>
      </c>
      <c r="J86" s="11" t="s">
        <v>114</v>
      </c>
      <c r="K86" s="11" t="s">
        <v>115</v>
      </c>
      <c r="L86" s="11" t="s">
        <v>97</v>
      </c>
      <c r="M86" s="12"/>
      <c r="N86" s="12"/>
      <c r="O86" s="12"/>
      <c r="P86" s="12"/>
      <c r="Q86" s="12"/>
      <c r="R86" s="12"/>
      <c r="S86" s="13"/>
      <c r="T86" s="13"/>
      <c r="U86" s="13"/>
      <c r="V86" s="13"/>
      <c r="W86" s="13"/>
      <c r="X86" s="13"/>
      <c r="Y86" s="9" t="str">
        <f aca="false">IF(OR(M86="",S86=""),"",IF(M86=S86,"Sama","Beda"))</f>
        <v/>
      </c>
      <c r="Z86" s="9" t="str">
        <f aca="false">IF(OR(N86="",T86=""),"",IF(N86=T86,"Sama","Beda"))</f>
        <v/>
      </c>
      <c r="AA86" s="9" t="str">
        <f aca="false">IF(OR(O86="",U86=""),"",IF(O86=U86,"Sama","Beda"))</f>
        <v/>
      </c>
      <c r="AB86" s="9" t="str">
        <f aca="false">IF(OR(P86="",V86=""),"",IF(P86=V86,"Sama","Beda"))</f>
        <v/>
      </c>
      <c r="AC86" s="9" t="str">
        <f aca="false">IF(OR(Q86="",W86=""),"",IF(Q86=W86,"Sama","Beda"))</f>
        <v/>
      </c>
      <c r="AD86" s="9" t="str">
        <f aca="false">IF(OR(R86="",X86=""),"",IF(R86=X86,"Sama","Beda"))</f>
        <v/>
      </c>
      <c r="AE86" s="9" t="n">
        <f aca="false">COUNTIF(Y86:AD86,"Beda")</f>
        <v>0</v>
      </c>
      <c r="AF86" s="14"/>
      <c r="AG86" s="14"/>
      <c r="AH86" s="14"/>
      <c r="AI86" s="14"/>
      <c r="AJ86" s="14"/>
      <c r="AK86" s="14"/>
      <c r="AL86" s="15" t="str">
        <f aca="false">IF(AF86&lt;&gt;"",AF86,IF(AND(M86&lt;&gt;"",M86=S86),M86,""))</f>
        <v/>
      </c>
      <c r="AM86" s="15" t="str">
        <f aca="false">IF(AG86&lt;&gt;"",AG86,IF(AND(N86&lt;&gt;"",N86=T86),N86,""))</f>
        <v/>
      </c>
      <c r="AN86" s="15" t="str">
        <f aca="false">IF(AH86&lt;&gt;"",AH86,IF(AND(O86&lt;&gt;"",O86=U86),O86,""))</f>
        <v/>
      </c>
      <c r="AO86" s="15" t="str">
        <f aca="false">IF(AI86&lt;&gt;"",AI86,IF(AND(P86&lt;&gt;"",P86=V86),P86,""))</f>
        <v/>
      </c>
      <c r="AP86" s="15" t="str">
        <f aca="false">IF(AJ86&lt;&gt;"",AJ86,IF(AND(Q86&lt;&gt;"",Q86=W86),Q86,""))</f>
        <v/>
      </c>
      <c r="AQ86" s="15" t="str">
        <f aca="false">IF(AK86&lt;&gt;"",AK86,IF(AND(R86&lt;&gt;"",R86=X86),R86,""))</f>
        <v/>
      </c>
      <c r="AR86" s="16"/>
      <c r="AS86" s="9" t="str">
        <f aca="false">IF(COUNTA(M86:R86)+COUNTA(S86:X86)&lt;12,"Menunggu coder",IF(AE86=0,"Sepakat",IF(SUMPRODUCT((Y86:AD86="Beda")*(AF86:AK86=""))=0,"Selesai adjudikasi","Perlu adjudikasi")))</f>
        <v>Menunggu coder</v>
      </c>
      <c r="AT86" s="10" t="str">
        <f aca="false">IF(COUNTIF(AL86:AQ86,"?*")&lt;6,"",IF(IF(AND(AM86="R0",AQ86&lt;&gt;"K5"),"R0 harus K5; ","")&amp;IF(AND(AM86="R1",AQ86="K3"),"R1 tidak boleh K3 (fungsional); ","")&amp;IF(AND(AM86="R2",AQ86="K5"),"R2 tidak boleh K5; ","")&amp;IF(AND(AM86="R2",OR(AL86="S6",AL86="S7",AL86="S8")),"R2 tidak boleh S6/S7/S8; ","")&amp;IF(AND(AO86="P9",AN86&lt;&gt;"T17"),"P9 hanya dengan T17; ","")&amp;IF(AND(OR(AN86="T17",AO86="P9"),AM86&lt;&gt;"R0"),"T17/P9 harus R0; ","")&amp;IF(AND(AN86="T01",AO86&lt;&gt;"P6"),"T01 biasanya P6 (periksa); ","")&amp;IF(AND(AO86="P1",AQ86&lt;&gt;"K4"),"P1 biasanya K4 (periksa); ","")="","OK",IF(AND(AM86="R0",AQ86&lt;&gt;"K5"),"R0 harus K5; ","")&amp;IF(AND(AM86="R1",AQ86="K3"),"R1 tidak boleh K3 (fungsional); ","")&amp;IF(AND(AM86="R2",AQ86="K5"),"R2 tidak boleh K5; ","")&amp;IF(AND(AM86="R2",OR(AL86="S6",AL86="S7",AL86="S8")),"R2 tidak boleh S6/S7/S8; ","")&amp;IF(AND(AO86="P9",AN86&lt;&gt;"T17"),"P9 hanya dengan T17; ","")&amp;IF(AND(OR(AN86="T17",AO86="P9"),AM86&lt;&gt;"R0"),"T17/P9 harus R0; ","")&amp;IF(AND(AN86="T01",AO86&lt;&gt;"P6"),"T01 biasanya P6 (periksa); ","")&amp;IF(AND(AO86="P1",AQ86&lt;&gt;"K4"),"P1 biasanya K4 (periksa); ","")))</f>
        <v/>
      </c>
    </row>
    <row r="87" customFormat="false" ht="48" hidden="false" customHeight="true" outlineLevel="0" collapsed="false">
      <c r="A87" s="9" t="n">
        <v>84</v>
      </c>
      <c r="B87" s="10" t="str">
        <f aca="false">IF(INDEX(Korpus!$A:$A,$A87)="","",INDEX(Korpus!$A:$A,$A87))</f>
        <v/>
      </c>
      <c r="C87" s="10" t="str">
        <f aca="false">TRIM(INDEX(Korpus!$D:$D,$A87)&amp;" "&amp;INDEX(Korpus!$E:$E,$A87))</f>
        <v/>
      </c>
      <c r="D87" s="10" t="str">
        <f aca="false">IF(INDEX(Korpus!$B:$B,$A87)="","",INDEX(Korpus!$B:$B,$A87))</f>
        <v/>
      </c>
      <c r="E87" s="10" t="str">
        <f aca="false">IF(INDEX(Korpus!$C:$C,$A87)="","",INDEX(Korpus!$C:$C,$A87))</f>
        <v/>
      </c>
      <c r="F87" s="10" t="str">
        <f aca="false">IF(INDEX(Korpus!$F:$F,$A87)="","",INDEX(Korpus!$F:$F,$A87))</f>
        <v/>
      </c>
      <c r="G87" s="11"/>
      <c r="H87" s="11"/>
      <c r="I87" s="11"/>
      <c r="J87" s="11"/>
      <c r="K87" s="11"/>
      <c r="L87" s="11"/>
      <c r="M87" s="12"/>
      <c r="N87" s="12"/>
      <c r="O87" s="12"/>
      <c r="P87" s="12"/>
      <c r="Q87" s="12"/>
      <c r="R87" s="12"/>
      <c r="S87" s="13"/>
      <c r="T87" s="13"/>
      <c r="U87" s="13"/>
      <c r="V87" s="13"/>
      <c r="W87" s="13"/>
      <c r="X87" s="13"/>
      <c r="Y87" s="9" t="str">
        <f aca="false">IF(OR(M87="",S87=""),"",IF(M87=S87,"Sama","Beda"))</f>
        <v/>
      </c>
      <c r="Z87" s="9" t="str">
        <f aca="false">IF(OR(N87="",T87=""),"",IF(N87=T87,"Sama","Beda"))</f>
        <v/>
      </c>
      <c r="AA87" s="9" t="str">
        <f aca="false">IF(OR(O87="",U87=""),"",IF(O87=U87,"Sama","Beda"))</f>
        <v/>
      </c>
      <c r="AB87" s="9" t="str">
        <f aca="false">IF(OR(P87="",V87=""),"",IF(P87=V87,"Sama","Beda"))</f>
        <v/>
      </c>
      <c r="AC87" s="9" t="str">
        <f aca="false">IF(OR(Q87="",W87=""),"",IF(Q87=W87,"Sama","Beda"))</f>
        <v/>
      </c>
      <c r="AD87" s="9" t="str">
        <f aca="false">IF(OR(R87="",X87=""),"",IF(R87=X87,"Sama","Beda"))</f>
        <v/>
      </c>
      <c r="AE87" s="9" t="n">
        <f aca="false">COUNTIF(Y87:AD87,"Beda")</f>
        <v>0</v>
      </c>
      <c r="AF87" s="14"/>
      <c r="AG87" s="14"/>
      <c r="AH87" s="14"/>
      <c r="AI87" s="14"/>
      <c r="AJ87" s="14"/>
      <c r="AK87" s="14"/>
      <c r="AL87" s="15" t="str">
        <f aca="false">IF(AF87&lt;&gt;"",AF87,IF(AND(M87&lt;&gt;"",M87=S87),M87,""))</f>
        <v/>
      </c>
      <c r="AM87" s="15" t="str">
        <f aca="false">IF(AG87&lt;&gt;"",AG87,IF(AND(N87&lt;&gt;"",N87=T87),N87,""))</f>
        <v/>
      </c>
      <c r="AN87" s="15" t="str">
        <f aca="false">IF(AH87&lt;&gt;"",AH87,IF(AND(O87&lt;&gt;"",O87=U87),O87,""))</f>
        <v/>
      </c>
      <c r="AO87" s="15" t="str">
        <f aca="false">IF(AI87&lt;&gt;"",AI87,IF(AND(P87&lt;&gt;"",P87=V87),P87,""))</f>
        <v/>
      </c>
      <c r="AP87" s="15" t="str">
        <f aca="false">IF(AJ87&lt;&gt;"",AJ87,IF(AND(Q87&lt;&gt;"",Q87=W87),Q87,""))</f>
        <v/>
      </c>
      <c r="AQ87" s="15" t="str">
        <f aca="false">IF(AK87&lt;&gt;"",AK87,IF(AND(R87&lt;&gt;"",R87=X87),R87,""))</f>
        <v/>
      </c>
      <c r="AR87" s="16"/>
      <c r="AS87" s="9" t="str">
        <f aca="false">IF(COUNTA(M87:R87)+COUNTA(S87:X87)&lt;12,"Menunggu coder",IF(AE87=0,"Sepakat",IF(SUMPRODUCT((Y87:AD87="Beda")*(AF87:AK87=""))=0,"Selesai adjudikasi","Perlu adjudikasi")))</f>
        <v>Menunggu coder</v>
      </c>
      <c r="AT87" s="10" t="str">
        <f aca="false">IF(COUNTIF(AL87:AQ87,"?*")&lt;6,"",IF(IF(AND(AM87="R0",AQ87&lt;&gt;"K5"),"R0 harus K5; ","")&amp;IF(AND(AM87="R1",AQ87="K3"),"R1 tidak boleh K3 (fungsional); ","")&amp;IF(AND(AM87="R2",AQ87="K5"),"R2 tidak boleh K5; ","")&amp;IF(AND(AM87="R2",OR(AL87="S6",AL87="S7",AL87="S8")),"R2 tidak boleh S6/S7/S8; ","")&amp;IF(AND(AO87="P9",AN87&lt;&gt;"T17"),"P9 hanya dengan T17; ","")&amp;IF(AND(OR(AN87="T17",AO87="P9"),AM87&lt;&gt;"R0"),"T17/P9 harus R0; ","")&amp;IF(AND(AN87="T01",AO87&lt;&gt;"P6"),"T01 biasanya P6 (periksa); ","")&amp;IF(AND(AO87="P1",AQ87&lt;&gt;"K4"),"P1 biasanya K4 (periksa); ","")="","OK",IF(AND(AM87="R0",AQ87&lt;&gt;"K5"),"R0 harus K5; ","")&amp;IF(AND(AM87="R1",AQ87="K3"),"R1 tidak boleh K3 (fungsional); ","")&amp;IF(AND(AM87="R2",AQ87="K5"),"R2 tidak boleh K5; ","")&amp;IF(AND(AM87="R2",OR(AL87="S6",AL87="S7",AL87="S8")),"R2 tidak boleh S6/S7/S8; ","")&amp;IF(AND(AO87="P9",AN87&lt;&gt;"T17"),"P9 hanya dengan T17; ","")&amp;IF(AND(OR(AN87="T17",AO87="P9"),AM87&lt;&gt;"R0"),"T17/P9 harus R0; ","")&amp;IF(AND(AN87="T01",AO87&lt;&gt;"P6"),"T01 biasanya P6 (periksa); ","")&amp;IF(AND(AO87="P1",AQ87&lt;&gt;"K4"),"P1 biasanya K4 (periksa); ","")))</f>
        <v/>
      </c>
    </row>
    <row r="88" customFormat="false" ht="48" hidden="false" customHeight="true" outlineLevel="0" collapsed="false">
      <c r="A88" s="9" t="n">
        <v>85</v>
      </c>
      <c r="B88" s="10" t="str">
        <f aca="false">IF(INDEX(Korpus!$A:$A,$A88)="","",INDEX(Korpus!$A:$A,$A88))</f>
        <v/>
      </c>
      <c r="C88" s="10" t="str">
        <f aca="false">TRIM(INDEX(Korpus!$D:$D,$A88)&amp;" "&amp;INDEX(Korpus!$E:$E,$A88))</f>
        <v/>
      </c>
      <c r="D88" s="10" t="str">
        <f aca="false">IF(INDEX(Korpus!$B:$B,$A88)="","",INDEX(Korpus!$B:$B,$A88))</f>
        <v/>
      </c>
      <c r="E88" s="10" t="str">
        <f aca="false">IF(INDEX(Korpus!$C:$C,$A88)="","",INDEX(Korpus!$C:$C,$A88))</f>
        <v/>
      </c>
      <c r="F88" s="10" t="str">
        <f aca="false">IF(INDEX(Korpus!$F:$F,$A88)="","",INDEX(Korpus!$F:$F,$A88))</f>
        <v/>
      </c>
      <c r="G88" s="11"/>
      <c r="H88" s="11"/>
      <c r="I88" s="11"/>
      <c r="J88" s="11"/>
      <c r="K88" s="11"/>
      <c r="L88" s="11"/>
      <c r="M88" s="12"/>
      <c r="N88" s="12"/>
      <c r="O88" s="12"/>
      <c r="P88" s="12"/>
      <c r="Q88" s="12"/>
      <c r="R88" s="12"/>
      <c r="S88" s="13"/>
      <c r="T88" s="13"/>
      <c r="U88" s="13"/>
      <c r="V88" s="13"/>
      <c r="W88" s="13"/>
      <c r="X88" s="13"/>
      <c r="Y88" s="9" t="str">
        <f aca="false">IF(OR(M88="",S88=""),"",IF(M88=S88,"Sama","Beda"))</f>
        <v/>
      </c>
      <c r="Z88" s="9" t="str">
        <f aca="false">IF(OR(N88="",T88=""),"",IF(N88=T88,"Sama","Beda"))</f>
        <v/>
      </c>
      <c r="AA88" s="9" t="str">
        <f aca="false">IF(OR(O88="",U88=""),"",IF(O88=U88,"Sama","Beda"))</f>
        <v/>
      </c>
      <c r="AB88" s="9" t="str">
        <f aca="false">IF(OR(P88="",V88=""),"",IF(P88=V88,"Sama","Beda"))</f>
        <v/>
      </c>
      <c r="AC88" s="9" t="str">
        <f aca="false">IF(OR(Q88="",W88=""),"",IF(Q88=W88,"Sama","Beda"))</f>
        <v/>
      </c>
      <c r="AD88" s="9" t="str">
        <f aca="false">IF(OR(R88="",X88=""),"",IF(R88=X88,"Sama","Beda"))</f>
        <v/>
      </c>
      <c r="AE88" s="9" t="n">
        <f aca="false">COUNTIF(Y88:AD88,"Beda")</f>
        <v>0</v>
      </c>
      <c r="AF88" s="14"/>
      <c r="AG88" s="14"/>
      <c r="AH88" s="14"/>
      <c r="AI88" s="14"/>
      <c r="AJ88" s="14"/>
      <c r="AK88" s="14"/>
      <c r="AL88" s="15" t="str">
        <f aca="false">IF(AF88&lt;&gt;"",AF88,IF(AND(M88&lt;&gt;"",M88=S88),M88,""))</f>
        <v/>
      </c>
      <c r="AM88" s="15" t="str">
        <f aca="false">IF(AG88&lt;&gt;"",AG88,IF(AND(N88&lt;&gt;"",N88=T88),N88,""))</f>
        <v/>
      </c>
      <c r="AN88" s="15" t="str">
        <f aca="false">IF(AH88&lt;&gt;"",AH88,IF(AND(O88&lt;&gt;"",O88=U88),O88,""))</f>
        <v/>
      </c>
      <c r="AO88" s="15" t="str">
        <f aca="false">IF(AI88&lt;&gt;"",AI88,IF(AND(P88&lt;&gt;"",P88=V88),P88,""))</f>
        <v/>
      </c>
      <c r="AP88" s="15" t="str">
        <f aca="false">IF(AJ88&lt;&gt;"",AJ88,IF(AND(Q88&lt;&gt;"",Q88=W88),Q88,""))</f>
        <v/>
      </c>
      <c r="AQ88" s="15" t="str">
        <f aca="false">IF(AK88&lt;&gt;"",AK88,IF(AND(R88&lt;&gt;"",R88=X88),R88,""))</f>
        <v/>
      </c>
      <c r="AR88" s="16"/>
      <c r="AS88" s="9" t="str">
        <f aca="false">IF(COUNTA(M88:R88)+COUNTA(S88:X88)&lt;12,"Menunggu coder",IF(AE88=0,"Sepakat",IF(SUMPRODUCT((Y88:AD88="Beda")*(AF88:AK88=""))=0,"Selesai adjudikasi","Perlu adjudikasi")))</f>
        <v>Menunggu coder</v>
      </c>
      <c r="AT88" s="10" t="str">
        <f aca="false">IF(COUNTIF(AL88:AQ88,"?*")&lt;6,"",IF(IF(AND(AM88="R0",AQ88&lt;&gt;"K5"),"R0 harus K5; ","")&amp;IF(AND(AM88="R1",AQ88="K3"),"R1 tidak boleh K3 (fungsional); ","")&amp;IF(AND(AM88="R2",AQ88="K5"),"R2 tidak boleh K5; ","")&amp;IF(AND(AM88="R2",OR(AL88="S6",AL88="S7",AL88="S8")),"R2 tidak boleh S6/S7/S8; ","")&amp;IF(AND(AO88="P9",AN88&lt;&gt;"T17"),"P9 hanya dengan T17; ","")&amp;IF(AND(OR(AN88="T17",AO88="P9"),AM88&lt;&gt;"R0"),"T17/P9 harus R0; ","")&amp;IF(AND(AN88="T01",AO88&lt;&gt;"P6"),"T01 biasanya P6 (periksa); ","")&amp;IF(AND(AO88="P1",AQ88&lt;&gt;"K4"),"P1 biasanya K4 (periksa); ","")="","OK",IF(AND(AM88="R0",AQ88&lt;&gt;"K5"),"R0 harus K5; ","")&amp;IF(AND(AM88="R1",AQ88="K3"),"R1 tidak boleh K3 (fungsional); ","")&amp;IF(AND(AM88="R2",AQ88="K5"),"R2 tidak boleh K5; ","")&amp;IF(AND(AM88="R2",OR(AL88="S6",AL88="S7",AL88="S8")),"R2 tidak boleh S6/S7/S8; ","")&amp;IF(AND(AO88="P9",AN88&lt;&gt;"T17"),"P9 hanya dengan T17; ","")&amp;IF(AND(OR(AN88="T17",AO88="P9"),AM88&lt;&gt;"R0"),"T17/P9 harus R0; ","")&amp;IF(AND(AN88="T01",AO88&lt;&gt;"P6"),"T01 biasanya P6 (periksa); ","")&amp;IF(AND(AO88="P1",AQ88&lt;&gt;"K4"),"P1 biasanya K4 (periksa); ","")))</f>
        <v/>
      </c>
    </row>
    <row r="89" customFormat="false" ht="48" hidden="false" customHeight="true" outlineLevel="0" collapsed="false">
      <c r="A89" s="9" t="n">
        <v>86</v>
      </c>
      <c r="B89" s="10" t="str">
        <f aca="false">IF(INDEX(Korpus!$A:$A,$A89)="","",INDEX(Korpus!$A:$A,$A89))</f>
        <v/>
      </c>
      <c r="C89" s="10" t="str">
        <f aca="false">TRIM(INDEX(Korpus!$D:$D,$A89)&amp;" "&amp;INDEX(Korpus!$E:$E,$A89))</f>
        <v/>
      </c>
      <c r="D89" s="10" t="str">
        <f aca="false">IF(INDEX(Korpus!$B:$B,$A89)="","",INDEX(Korpus!$B:$B,$A89))</f>
        <v/>
      </c>
      <c r="E89" s="10" t="str">
        <f aca="false">IF(INDEX(Korpus!$C:$C,$A89)="","",INDEX(Korpus!$C:$C,$A89))</f>
        <v/>
      </c>
      <c r="F89" s="10" t="str">
        <f aca="false">IF(INDEX(Korpus!$F:$F,$A89)="","",INDEX(Korpus!$F:$F,$A89))</f>
        <v/>
      </c>
      <c r="G89" s="11" t="s">
        <v>116</v>
      </c>
      <c r="H89" s="11" t="s">
        <v>83</v>
      </c>
      <c r="I89" s="11" t="s">
        <v>117</v>
      </c>
      <c r="J89" s="11" t="s">
        <v>118</v>
      </c>
      <c r="K89" s="11" t="s">
        <v>115</v>
      </c>
      <c r="L89" s="11" t="s">
        <v>97</v>
      </c>
      <c r="M89" s="12"/>
      <c r="N89" s="12"/>
      <c r="O89" s="12"/>
      <c r="P89" s="12"/>
      <c r="Q89" s="12"/>
      <c r="R89" s="12"/>
      <c r="S89" s="13"/>
      <c r="T89" s="13"/>
      <c r="U89" s="13"/>
      <c r="V89" s="13"/>
      <c r="W89" s="13"/>
      <c r="X89" s="13"/>
      <c r="Y89" s="9" t="str">
        <f aca="false">IF(OR(M89="",S89=""),"",IF(M89=S89,"Sama","Beda"))</f>
        <v/>
      </c>
      <c r="Z89" s="9" t="str">
        <f aca="false">IF(OR(N89="",T89=""),"",IF(N89=T89,"Sama","Beda"))</f>
        <v/>
      </c>
      <c r="AA89" s="9" t="str">
        <f aca="false">IF(OR(O89="",U89=""),"",IF(O89=U89,"Sama","Beda"))</f>
        <v/>
      </c>
      <c r="AB89" s="9" t="str">
        <f aca="false">IF(OR(P89="",V89=""),"",IF(P89=V89,"Sama","Beda"))</f>
        <v/>
      </c>
      <c r="AC89" s="9" t="str">
        <f aca="false">IF(OR(Q89="",W89=""),"",IF(Q89=W89,"Sama","Beda"))</f>
        <v/>
      </c>
      <c r="AD89" s="9" t="str">
        <f aca="false">IF(OR(R89="",X89=""),"",IF(R89=X89,"Sama","Beda"))</f>
        <v/>
      </c>
      <c r="AE89" s="9" t="n">
        <f aca="false">COUNTIF(Y89:AD89,"Beda")</f>
        <v>0</v>
      </c>
      <c r="AF89" s="14"/>
      <c r="AG89" s="14"/>
      <c r="AH89" s="14"/>
      <c r="AI89" s="14"/>
      <c r="AJ89" s="14"/>
      <c r="AK89" s="14"/>
      <c r="AL89" s="15" t="str">
        <f aca="false">IF(AF89&lt;&gt;"",AF89,IF(AND(M89&lt;&gt;"",M89=S89),M89,""))</f>
        <v/>
      </c>
      <c r="AM89" s="15" t="str">
        <f aca="false">IF(AG89&lt;&gt;"",AG89,IF(AND(N89&lt;&gt;"",N89=T89),N89,""))</f>
        <v/>
      </c>
      <c r="AN89" s="15" t="str">
        <f aca="false">IF(AH89&lt;&gt;"",AH89,IF(AND(O89&lt;&gt;"",O89=U89),O89,""))</f>
        <v/>
      </c>
      <c r="AO89" s="15" t="str">
        <f aca="false">IF(AI89&lt;&gt;"",AI89,IF(AND(P89&lt;&gt;"",P89=V89),P89,""))</f>
        <v/>
      </c>
      <c r="AP89" s="15" t="str">
        <f aca="false">IF(AJ89&lt;&gt;"",AJ89,IF(AND(Q89&lt;&gt;"",Q89=W89),Q89,""))</f>
        <v/>
      </c>
      <c r="AQ89" s="15" t="str">
        <f aca="false">IF(AK89&lt;&gt;"",AK89,IF(AND(R89&lt;&gt;"",R89=X89),R89,""))</f>
        <v/>
      </c>
      <c r="AR89" s="16"/>
      <c r="AS89" s="9" t="str">
        <f aca="false">IF(COUNTA(M89:R89)+COUNTA(S89:X89)&lt;12,"Menunggu coder",IF(AE89=0,"Sepakat",IF(SUMPRODUCT((Y89:AD89="Beda")*(AF89:AK89=""))=0,"Selesai adjudikasi","Perlu adjudikasi")))</f>
        <v>Menunggu coder</v>
      </c>
      <c r="AT89" s="10" t="str">
        <f aca="false">IF(COUNTIF(AL89:AQ89,"?*")&lt;6,"",IF(IF(AND(AM89="R0",AQ89&lt;&gt;"K5"),"R0 harus K5; ","")&amp;IF(AND(AM89="R1",AQ89="K3"),"R1 tidak boleh K3 (fungsional); ","")&amp;IF(AND(AM89="R2",AQ89="K5"),"R2 tidak boleh K5; ","")&amp;IF(AND(AM89="R2",OR(AL89="S6",AL89="S7",AL89="S8")),"R2 tidak boleh S6/S7/S8; ","")&amp;IF(AND(AO89="P9",AN89&lt;&gt;"T17"),"P9 hanya dengan T17; ","")&amp;IF(AND(OR(AN89="T17",AO89="P9"),AM89&lt;&gt;"R0"),"T17/P9 harus R0; ","")&amp;IF(AND(AN89="T01",AO89&lt;&gt;"P6"),"T01 biasanya P6 (periksa); ","")&amp;IF(AND(AO89="P1",AQ89&lt;&gt;"K4"),"P1 biasanya K4 (periksa); ","")="","OK",IF(AND(AM89="R0",AQ89&lt;&gt;"K5"),"R0 harus K5; ","")&amp;IF(AND(AM89="R1",AQ89="K3"),"R1 tidak boleh K3 (fungsional); ","")&amp;IF(AND(AM89="R2",AQ89="K5"),"R2 tidak boleh K5; ","")&amp;IF(AND(AM89="R2",OR(AL89="S6",AL89="S7",AL89="S8")),"R2 tidak boleh S6/S7/S8; ","")&amp;IF(AND(AO89="P9",AN89&lt;&gt;"T17"),"P9 hanya dengan T17; ","")&amp;IF(AND(OR(AN89="T17",AO89="P9"),AM89&lt;&gt;"R0"),"T17/P9 harus R0; ","")&amp;IF(AND(AN89="T01",AO89&lt;&gt;"P6"),"T01 biasanya P6 (periksa); ","")&amp;IF(AND(AO89="P1",AQ89&lt;&gt;"K4"),"P1 biasanya K4 (periksa); ","")))</f>
        <v/>
      </c>
    </row>
  </sheetData>
  <autoFilter ref="A4:AT89"/>
  <mergeCells count="7">
    <mergeCell ref="A3:F3"/>
    <mergeCell ref="G3:L3"/>
    <mergeCell ref="M3:R3"/>
    <mergeCell ref="S3:X3"/>
    <mergeCell ref="Y3:AD3"/>
    <mergeCell ref="AF3:AK3"/>
    <mergeCell ref="AL3:AQ3"/>
  </mergeCells>
  <conditionalFormatting sqref="Y5:AD89">
    <cfRule type="cellIs" priority="2" operator="equal" aboveAverage="0" equalAverage="0" bottom="0" percent="0" rank="0" text="" dxfId="8">
      <formula>"Beda"</formula>
    </cfRule>
  </conditionalFormatting>
  <conditionalFormatting sqref="AS5:AS89">
    <cfRule type="expression" priority="3" aboveAverage="0" equalAverage="0" bottom="0" percent="0" rank="0" text="" dxfId="9">
      <formula>AS5="Perlu adjudikasi"</formula>
    </cfRule>
  </conditionalFormatting>
  <conditionalFormatting sqref="AT5:AT89">
    <cfRule type="expression" priority="4" aboveAverage="0" equalAverage="0" bottom="0" percent="0" rank="0" text="" dxfId="10">
      <formula>AT5="OK"</formula>
    </cfRule>
    <cfRule type="expression" priority="5" aboveAverage="0" equalAverage="0" bottom="0" percent="0" rank="0" text="" dxfId="11">
      <formula>AND(AT5&lt;&gt;"",AT5&lt;&gt;"OK",LEFT(AT5,7)&lt;&gt;"Belum l")</formula>
    </cfRule>
  </conditionalFormatting>
  <dataValidations count="24">
    <dataValidation allowBlank="true" error="Pilih kode dari daftar (lihat sheet Daftar Kode)." errorStyle="stop" errorTitle="Kode tidak sah" operator="between" showDropDown="false" showErrorMessage="true" showInputMessage="false" sqref="G5:G89"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H5:H89"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I5:I89"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J5:J89"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K5:K89"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L5:L89"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M5:M89"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N5:N89"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O5:O89"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P5:P89"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Q5:Q89"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R5:R89"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S5:S89"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T5:T89"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U5:U89"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V5:V89"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W5:W89"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X5:X89"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AF5:AF89"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AG5:AG89"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AH5:AH89"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AI5:AI89"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AJ5:AJ89"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AK5:AK89" type="list">
      <formula1>'Daftar Kode'!$B$62:$B$66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22"/>
    <col collapsed="false" customWidth="true" hidden="false" outlineLevel="0" max="4" min="4" style="0" width="14"/>
    <col collapsed="false" customWidth="true" hidden="false" outlineLevel="0" max="5" min="5" style="0" width="20"/>
    <col collapsed="false" customWidth="true" hidden="false" outlineLevel="0" max="6" min="6" style="0" width="10"/>
    <col collapsed="false" customWidth="true" hidden="false" outlineLevel="0" max="7" min="7" style="0" width="24"/>
  </cols>
  <sheetData>
    <row r="1" customFormat="false" ht="17.35" hidden="false" customHeight="false" outlineLevel="0" collapsed="false">
      <c r="A1" s="1" t="s">
        <v>119</v>
      </c>
    </row>
    <row r="2" customFormat="false" ht="15" hidden="false" customHeight="false" outlineLevel="0" collapsed="false">
      <c r="A2" s="2" t="s">
        <v>120</v>
      </c>
    </row>
    <row r="4" customFormat="false" ht="31.5" hidden="false" customHeight="true" outlineLevel="0" collapsed="false">
      <c r="A4" s="7" t="s">
        <v>121</v>
      </c>
      <c r="B4" s="7" t="s">
        <v>122</v>
      </c>
      <c r="C4" s="7" t="s">
        <v>123</v>
      </c>
      <c r="D4" s="7" t="s">
        <v>124</v>
      </c>
      <c r="E4" s="7" t="s">
        <v>125</v>
      </c>
      <c r="F4" s="7" t="s">
        <v>16</v>
      </c>
      <c r="G4" s="7" t="s">
        <v>126</v>
      </c>
    </row>
    <row r="5" customFormat="false" ht="15" hidden="false" customHeight="false" outlineLevel="0" collapsed="false">
      <c r="A5" s="17" t="s">
        <v>127</v>
      </c>
      <c r="B5" s="18" t="s">
        <v>128</v>
      </c>
      <c r="C5" s="18" t="n">
        <f aca="false">SUMPRODUCT(('Kunci Adjudikasi'!$M$5:$M$89&lt;&gt;"")*('Kunci Adjudikasi'!$S$5:$S$89&lt;&gt;""))</f>
        <v>0</v>
      </c>
      <c r="D5" s="18" t="n">
        <f aca="false">SUMPRODUCT(('Kunci Adjudikasi'!$M$5:$M$89&lt;&gt;"")*('Kunci Adjudikasi'!$S$5:$S$89&lt;&gt;"")*('Kunci Adjudikasi'!$M$5:$M$89&lt;&gt;'Kunci Adjudikasi'!$S$5:$S$89))</f>
        <v>0</v>
      </c>
      <c r="E5" s="18" t="n">
        <f aca="false">2*C5</f>
        <v>0</v>
      </c>
      <c r="F5" s="19" t="str">
        <f aca="false">IF(C5=0,"",IF(((E5^2-SUM(C16:C24))/2)=0,"n/a",1-(E5-1)*D5/((E5^2-SUM(C16:C24))/2)))</f>
        <v/>
      </c>
      <c r="G5" s="18" t="str">
        <f aca="false">IF(OR(F5="",F5="n/a"),"",IF(F5&gt;=0.8,"Dapat diterima",IF(F5&gt;=0.667,"Tentatif","Revisi variabel")))</f>
        <v/>
      </c>
    </row>
    <row r="6" customFormat="false" ht="15" hidden="false" customHeight="false" outlineLevel="0" collapsed="false">
      <c r="A6" s="17" t="s">
        <v>129</v>
      </c>
      <c r="B6" s="18" t="s">
        <v>130</v>
      </c>
      <c r="C6" s="18" t="n">
        <f aca="false">SUMPRODUCT(('Kunci Adjudikasi'!$N$5:$N$89&lt;&gt;"")*('Kunci Adjudikasi'!$T$5:$T$89&lt;&gt;""))</f>
        <v>0</v>
      </c>
      <c r="D6" s="18" t="n">
        <f aca="false">SUMPRODUCT(('Kunci Adjudikasi'!$N$5:$N$89&lt;&gt;"")*('Kunci Adjudikasi'!$T$5:$T$89&lt;&gt;"")*('Kunci Adjudikasi'!$N$5:$N$89&lt;&gt;'Kunci Adjudikasi'!$T$5:$T$89))</f>
        <v>0</v>
      </c>
      <c r="E6" s="18" t="n">
        <f aca="false">2*C6</f>
        <v>0</v>
      </c>
      <c r="F6" s="19" t="str">
        <f aca="false">IF(C6=0,"",IF(SUM(D33:D35)=0,"n/a",1-(E6-1)*SUMPRODUCT(B33:B35,C33:C35)/SUM(D33:D35)))</f>
        <v/>
      </c>
      <c r="G6" s="18" t="str">
        <f aca="false">IF(OR(F6="",F6="n/a"),"",IF(F6&gt;=0.8,"Dapat diterima",IF(F6&gt;=0.667,"Tentatif","Revisi variabel")))</f>
        <v/>
      </c>
    </row>
    <row r="7" customFormat="false" ht="15" hidden="false" customHeight="false" outlineLevel="0" collapsed="false">
      <c r="A7" s="17" t="s">
        <v>131</v>
      </c>
      <c r="B7" s="18" t="s">
        <v>128</v>
      </c>
      <c r="C7" s="18" t="n">
        <f aca="false">SUMPRODUCT(('Kunci Adjudikasi'!$O$5:$O$89&lt;&gt;"")*('Kunci Adjudikasi'!$U$5:$U$89&lt;&gt;""))</f>
        <v>0</v>
      </c>
      <c r="D7" s="18" t="n">
        <f aca="false">SUMPRODUCT(('Kunci Adjudikasi'!$O$5:$O$89&lt;&gt;"")*('Kunci Adjudikasi'!$U$5:$U$89&lt;&gt;"")*('Kunci Adjudikasi'!$O$5:$O$89&lt;&gt;'Kunci Adjudikasi'!$U$5:$U$89))</f>
        <v>0</v>
      </c>
      <c r="E7" s="18" t="n">
        <f aca="false">2*C7</f>
        <v>0</v>
      </c>
      <c r="F7" s="19" t="str">
        <f aca="false">IF(C7=0,"",IF(((E7^2-SUM(C40:C57))/2)=0,"n/a",1-(E7-1)*D7/((E7^2-SUM(C40:C57))/2)))</f>
        <v/>
      </c>
      <c r="G7" s="18" t="str">
        <f aca="false">IF(OR(F7="",F7="n/a"),"",IF(F7&gt;=0.8,"Dapat diterima",IF(F7&gt;=0.667,"Tentatif","Revisi variabel")))</f>
        <v/>
      </c>
    </row>
    <row r="8" customFormat="false" ht="15" hidden="false" customHeight="false" outlineLevel="0" collapsed="false">
      <c r="A8" s="17" t="s">
        <v>132</v>
      </c>
      <c r="B8" s="18" t="s">
        <v>128</v>
      </c>
      <c r="C8" s="18" t="n">
        <f aca="false">SUMPRODUCT(('Kunci Adjudikasi'!$P$5:$P$89&lt;&gt;"")*('Kunci Adjudikasi'!$V$5:$V$89&lt;&gt;""))</f>
        <v>0</v>
      </c>
      <c r="D8" s="18" t="n">
        <f aca="false">SUMPRODUCT(('Kunci Adjudikasi'!$P$5:$P$89&lt;&gt;"")*('Kunci Adjudikasi'!$V$5:$V$89&lt;&gt;"")*('Kunci Adjudikasi'!$P$5:$P$89&lt;&gt;'Kunci Adjudikasi'!$V$5:$V$89))</f>
        <v>0</v>
      </c>
      <c r="E8" s="18" t="n">
        <f aca="false">2*C8</f>
        <v>0</v>
      </c>
      <c r="F8" s="19" t="str">
        <f aca="false">IF(C8=0,"",IF(((E8^2-SUM(C62:C70))/2)=0,"n/a",1-(E8-1)*D8/((E8^2-SUM(C62:C70))/2)))</f>
        <v/>
      </c>
      <c r="G8" s="18" t="str">
        <f aca="false">IF(OR(F8="",F8="n/a"),"",IF(F8&gt;=0.8,"Dapat diterima",IF(F8&gt;=0.667,"Tentatif","Revisi variabel")))</f>
        <v/>
      </c>
    </row>
    <row r="9" customFormat="false" ht="15" hidden="false" customHeight="false" outlineLevel="0" collapsed="false">
      <c r="A9" s="17" t="s">
        <v>133</v>
      </c>
      <c r="B9" s="18" t="s">
        <v>128</v>
      </c>
      <c r="C9" s="18" t="n">
        <f aca="false">SUMPRODUCT(('Kunci Adjudikasi'!$Q$5:$Q$89&lt;&gt;"")*('Kunci Adjudikasi'!$W$5:$W$89&lt;&gt;""))</f>
        <v>0</v>
      </c>
      <c r="D9" s="18" t="n">
        <f aca="false">SUMPRODUCT(('Kunci Adjudikasi'!$Q$5:$Q$89&lt;&gt;"")*('Kunci Adjudikasi'!$W$5:$W$89&lt;&gt;"")*('Kunci Adjudikasi'!$Q$5:$Q$89&lt;&gt;'Kunci Adjudikasi'!$W$5:$W$89))</f>
        <v>0</v>
      </c>
      <c r="E9" s="18" t="n">
        <f aca="false">2*C9</f>
        <v>0</v>
      </c>
      <c r="F9" s="19" t="str">
        <f aca="false">IF(C9=0,"",IF(((E9^2-SUM(C75:C82))/2)=0,"n/a",1-(E9-1)*D9/((E9^2-SUM(C75:C82))/2)))</f>
        <v/>
      </c>
      <c r="G9" s="18" t="str">
        <f aca="false">IF(OR(F9="",F9="n/a"),"",IF(F9&gt;=0.8,"Dapat diterima",IF(F9&gt;=0.667,"Tentatif","Revisi variabel")))</f>
        <v/>
      </c>
    </row>
    <row r="10" customFormat="false" ht="15" hidden="false" customHeight="false" outlineLevel="0" collapsed="false">
      <c r="A10" s="17" t="s">
        <v>134</v>
      </c>
      <c r="B10" s="18" t="s">
        <v>128</v>
      </c>
      <c r="C10" s="18" t="n">
        <f aca="false">SUMPRODUCT(('Kunci Adjudikasi'!$R$5:$R$89&lt;&gt;"")*('Kunci Adjudikasi'!$X$5:$X$89&lt;&gt;""))</f>
        <v>0</v>
      </c>
      <c r="D10" s="18" t="n">
        <f aca="false">SUMPRODUCT(('Kunci Adjudikasi'!$R$5:$R$89&lt;&gt;"")*('Kunci Adjudikasi'!$X$5:$X$89&lt;&gt;"")*('Kunci Adjudikasi'!$R$5:$R$89&lt;&gt;'Kunci Adjudikasi'!$X$5:$X$89))</f>
        <v>0</v>
      </c>
      <c r="E10" s="18" t="n">
        <f aca="false">2*C10</f>
        <v>0</v>
      </c>
      <c r="F10" s="19" t="str">
        <f aca="false">IF(C10=0,"",IF(((E10^2-SUM(C87:C91))/2)=0,"n/a",1-(E10-1)*D10/((E10^2-SUM(C87:C91))/2)))</f>
        <v/>
      </c>
      <c r="G10" s="18" t="str">
        <f aca="false">IF(OR(F10="",F10="n/a"),"",IF(F10&gt;=0.8,"Dapat diterima",IF(F10&gt;=0.667,"Tentatif","Revisi variabel")))</f>
        <v/>
      </c>
    </row>
    <row r="12" customFormat="false" ht="15" hidden="false" customHeight="false" outlineLevel="0" collapsed="false">
      <c r="A12" s="2" t="s">
        <v>135</v>
      </c>
    </row>
    <row r="14" customFormat="false" ht="15" hidden="false" customHeight="false" outlineLevel="0" collapsed="false">
      <c r="A14" s="20" t="s">
        <v>136</v>
      </c>
    </row>
    <row r="15" customFormat="false" ht="23.85" hidden="false" customHeight="false" outlineLevel="0" collapsed="false">
      <c r="A15" s="7" t="s">
        <v>137</v>
      </c>
      <c r="B15" s="7" t="s">
        <v>138</v>
      </c>
      <c r="C15" s="7" t="s">
        <v>139</v>
      </c>
    </row>
    <row r="16" customFormat="false" ht="15" hidden="false" customHeight="false" outlineLevel="0" collapsed="false">
      <c r="A16" s="21" t="s">
        <v>108</v>
      </c>
      <c r="B16" s="17" t="n">
        <f aca="false">COUNTIFS('Kunci Adjudikasi'!$M$5:$M$89,A16,'Kunci Adjudikasi'!$S$5:$S$89,"&lt;&gt;")+COUNTIFS('Kunci Adjudikasi'!$S$5:$S$89,A16,'Kunci Adjudikasi'!$M$5:$M$89,"&lt;&gt;")</f>
        <v>0</v>
      </c>
      <c r="C16" s="17" t="n">
        <f aca="false">B16^2</f>
        <v>0</v>
      </c>
    </row>
    <row r="17" customFormat="false" ht="15" hidden="false" customHeight="false" outlineLevel="0" collapsed="false">
      <c r="A17" s="21" t="s">
        <v>140</v>
      </c>
      <c r="B17" s="17" t="n">
        <f aca="false">COUNTIFS('Kunci Adjudikasi'!$M$5:$M$89,A17,'Kunci Adjudikasi'!$S$5:$S$89,"&lt;&gt;")+COUNTIFS('Kunci Adjudikasi'!$S$5:$S$89,A17,'Kunci Adjudikasi'!$M$5:$M$89,"&lt;&gt;")</f>
        <v>0</v>
      </c>
      <c r="C17" s="17" t="n">
        <f aca="false">B17^2</f>
        <v>0</v>
      </c>
    </row>
    <row r="18" customFormat="false" ht="15" hidden="false" customHeight="false" outlineLevel="0" collapsed="false">
      <c r="A18" s="21" t="s">
        <v>141</v>
      </c>
      <c r="B18" s="17" t="n">
        <f aca="false">COUNTIFS('Kunci Adjudikasi'!$M$5:$M$89,A18,'Kunci Adjudikasi'!$S$5:$S$89,"&lt;&gt;")+COUNTIFS('Kunci Adjudikasi'!$S$5:$S$89,A18,'Kunci Adjudikasi'!$M$5:$M$89,"&lt;&gt;")</f>
        <v>0</v>
      </c>
      <c r="C18" s="17" t="n">
        <f aca="false">B18^2</f>
        <v>0</v>
      </c>
    </row>
    <row r="19" customFormat="false" ht="15" hidden="false" customHeight="false" outlineLevel="0" collapsed="false">
      <c r="A19" s="21" t="s">
        <v>100</v>
      </c>
      <c r="B19" s="17" t="n">
        <f aca="false">COUNTIFS('Kunci Adjudikasi'!$M$5:$M$89,A19,'Kunci Adjudikasi'!$S$5:$S$89,"&lt;&gt;")+COUNTIFS('Kunci Adjudikasi'!$S$5:$S$89,A19,'Kunci Adjudikasi'!$M$5:$M$89,"&lt;&gt;")</f>
        <v>0</v>
      </c>
      <c r="C19" s="17" t="n">
        <f aca="false">B19^2</f>
        <v>0</v>
      </c>
    </row>
    <row r="20" customFormat="false" ht="15" hidden="false" customHeight="false" outlineLevel="0" collapsed="false">
      <c r="A20" s="21" t="s">
        <v>112</v>
      </c>
      <c r="B20" s="17" t="n">
        <f aca="false">COUNTIFS('Kunci Adjudikasi'!$M$5:$M$89,A20,'Kunci Adjudikasi'!$S$5:$S$89,"&lt;&gt;")+COUNTIFS('Kunci Adjudikasi'!$S$5:$S$89,A20,'Kunci Adjudikasi'!$M$5:$M$89,"&lt;&gt;")</f>
        <v>0</v>
      </c>
      <c r="C20" s="17" t="n">
        <f aca="false">B20^2</f>
        <v>0</v>
      </c>
    </row>
    <row r="21" customFormat="false" ht="15" hidden="false" customHeight="false" outlineLevel="0" collapsed="false">
      <c r="A21" s="21" t="s">
        <v>116</v>
      </c>
      <c r="B21" s="17" t="n">
        <f aca="false">COUNTIFS('Kunci Adjudikasi'!$M$5:$M$89,A21,'Kunci Adjudikasi'!$S$5:$S$89,"&lt;&gt;")+COUNTIFS('Kunci Adjudikasi'!$S$5:$S$89,A21,'Kunci Adjudikasi'!$M$5:$M$89,"&lt;&gt;")</f>
        <v>0</v>
      </c>
      <c r="C21" s="17" t="n">
        <f aca="false">B21^2</f>
        <v>0</v>
      </c>
    </row>
    <row r="22" customFormat="false" ht="15" hidden="false" customHeight="false" outlineLevel="0" collapsed="false">
      <c r="A22" s="21" t="s">
        <v>142</v>
      </c>
      <c r="B22" s="17" t="n">
        <f aca="false">COUNTIFS('Kunci Adjudikasi'!$M$5:$M$89,A22,'Kunci Adjudikasi'!$S$5:$S$89,"&lt;&gt;")+COUNTIFS('Kunci Adjudikasi'!$S$5:$S$89,A22,'Kunci Adjudikasi'!$M$5:$M$89,"&lt;&gt;")</f>
        <v>0</v>
      </c>
      <c r="C22" s="17" t="n">
        <f aca="false">B22^2</f>
        <v>0</v>
      </c>
    </row>
    <row r="23" customFormat="false" ht="15" hidden="false" customHeight="false" outlineLevel="0" collapsed="false">
      <c r="A23" s="21" t="s">
        <v>91</v>
      </c>
      <c r="B23" s="17" t="n">
        <f aca="false">COUNTIFS('Kunci Adjudikasi'!$M$5:$M$89,A23,'Kunci Adjudikasi'!$S$5:$S$89,"&lt;&gt;")+COUNTIFS('Kunci Adjudikasi'!$S$5:$S$89,A23,'Kunci Adjudikasi'!$M$5:$M$89,"&lt;&gt;")</f>
        <v>0</v>
      </c>
      <c r="C23" s="17" t="n">
        <f aca="false">B23^2</f>
        <v>0</v>
      </c>
    </row>
    <row r="24" customFormat="false" ht="15" hidden="false" customHeight="false" outlineLevel="0" collapsed="false">
      <c r="A24" s="21" t="s">
        <v>82</v>
      </c>
      <c r="B24" s="17" t="n">
        <f aca="false">COUNTIFS('Kunci Adjudikasi'!$M$5:$M$89,A24,'Kunci Adjudikasi'!$S$5:$S$89,"&lt;&gt;")+COUNTIFS('Kunci Adjudikasi'!$S$5:$S$89,A24,'Kunci Adjudikasi'!$M$5:$M$89,"&lt;&gt;")</f>
        <v>0</v>
      </c>
      <c r="C24" s="17" t="n">
        <f aca="false">B24^2</f>
        <v>0</v>
      </c>
    </row>
    <row r="27" customFormat="false" ht="15" hidden="false" customHeight="false" outlineLevel="0" collapsed="false">
      <c r="A27" s="20" t="s">
        <v>143</v>
      </c>
    </row>
    <row r="28" customFormat="false" ht="23.85" hidden="false" customHeight="false" outlineLevel="0" collapsed="false">
      <c r="A28" s="7" t="s">
        <v>137</v>
      </c>
      <c r="B28" s="7" t="s">
        <v>138</v>
      </c>
      <c r="C28" s="7" t="s">
        <v>144</v>
      </c>
    </row>
    <row r="29" customFormat="false" ht="15" hidden="false" customHeight="false" outlineLevel="0" collapsed="false">
      <c r="A29" s="21" t="s">
        <v>88</v>
      </c>
      <c r="B29" s="17" t="n">
        <f aca="false">COUNTIFS('Kunci Adjudikasi'!$N$5:$N$89,A29,'Kunci Adjudikasi'!$T$5:$T$89,"&lt;&gt;")+COUNTIFS('Kunci Adjudikasi'!$T$5:$T$89,A29,'Kunci Adjudikasi'!$N$5:$N$89,"&lt;&gt;")</f>
        <v>0</v>
      </c>
      <c r="C29" s="17" t="n">
        <f aca="false">SUM($B$29:B29)</f>
        <v>0</v>
      </c>
    </row>
    <row r="30" customFormat="false" ht="15" hidden="false" customHeight="false" outlineLevel="0" collapsed="false">
      <c r="A30" s="21" t="s">
        <v>83</v>
      </c>
      <c r="B30" s="17" t="n">
        <f aca="false">COUNTIFS('Kunci Adjudikasi'!$N$5:$N$89,A30,'Kunci Adjudikasi'!$T$5:$T$89,"&lt;&gt;")+COUNTIFS('Kunci Adjudikasi'!$T$5:$T$89,A30,'Kunci Adjudikasi'!$N$5:$N$89,"&lt;&gt;")</f>
        <v>0</v>
      </c>
      <c r="C30" s="17" t="n">
        <f aca="false">SUM($B$29:B30)</f>
        <v>0</v>
      </c>
    </row>
    <row r="31" customFormat="false" ht="15" hidden="false" customHeight="false" outlineLevel="0" collapsed="false">
      <c r="A31" s="21" t="s">
        <v>101</v>
      </c>
      <c r="B31" s="17" t="n">
        <f aca="false">COUNTIFS('Kunci Adjudikasi'!$N$5:$N$89,A31,'Kunci Adjudikasi'!$T$5:$T$89,"&lt;&gt;")+COUNTIFS('Kunci Adjudikasi'!$T$5:$T$89,A31,'Kunci Adjudikasi'!$N$5:$N$89,"&lt;&gt;")</f>
        <v>0</v>
      </c>
      <c r="C31" s="17" t="n">
        <f aca="false">SUM($B$29:B31)</f>
        <v>0</v>
      </c>
    </row>
    <row r="32" customFormat="false" ht="15" hidden="false" customHeight="false" outlineLevel="0" collapsed="false">
      <c r="A32" s="20" t="s">
        <v>145</v>
      </c>
      <c r="B32" s="20" t="s">
        <v>146</v>
      </c>
      <c r="C32" s="20" t="s">
        <v>147</v>
      </c>
      <c r="D32" s="20" t="s">
        <v>148</v>
      </c>
    </row>
    <row r="33" customFormat="false" ht="15" hidden="false" customHeight="false" outlineLevel="0" collapsed="false">
      <c r="A33" s="17" t="s">
        <v>149</v>
      </c>
      <c r="B33" s="17" t="n">
        <f aca="false">SUMPRODUCT(('Kunci Adjudikasi'!$N$5:$N$89="R0")*('Kunci Adjudikasi'!$T$5:$T$89="R1")+('Kunci Adjudikasi'!$N$5:$N$89="R1")*('Kunci Adjudikasi'!$T$5:$T$89="R0"))</f>
        <v>0</v>
      </c>
      <c r="C33" s="17" t="n">
        <f aca="false">((B29+B30)/2)^2</f>
        <v>0</v>
      </c>
      <c r="D33" s="17" t="n">
        <f aca="false">B29*B30*C33</f>
        <v>0</v>
      </c>
    </row>
    <row r="34" customFormat="false" ht="15" hidden="false" customHeight="false" outlineLevel="0" collapsed="false">
      <c r="A34" s="17" t="s">
        <v>150</v>
      </c>
      <c r="B34" s="17" t="n">
        <f aca="false">SUMPRODUCT(('Kunci Adjudikasi'!$N$5:$N$89="R1")*('Kunci Adjudikasi'!$T$5:$T$89="R2")+('Kunci Adjudikasi'!$N$5:$N$89="R2")*('Kunci Adjudikasi'!$T$5:$T$89="R1"))</f>
        <v>0</v>
      </c>
      <c r="C34" s="17" t="n">
        <f aca="false">((B30+B31)/2)^2</f>
        <v>0</v>
      </c>
      <c r="D34" s="17" t="n">
        <f aca="false">B30*B31*C34</f>
        <v>0</v>
      </c>
    </row>
    <row r="35" customFormat="false" ht="15" hidden="false" customHeight="false" outlineLevel="0" collapsed="false">
      <c r="A35" s="17" t="s">
        <v>151</v>
      </c>
      <c r="B35" s="17" t="n">
        <f aca="false">SUMPRODUCT(('Kunci Adjudikasi'!$N$5:$N$89="R0")*('Kunci Adjudikasi'!$T$5:$T$89="R2")+('Kunci Adjudikasi'!$N$5:$N$89="R2")*('Kunci Adjudikasi'!$T$5:$T$89="R0"))</f>
        <v>0</v>
      </c>
      <c r="C35" s="17" t="n">
        <f aca="false">(B30+(B29+B31)/2)^2</f>
        <v>0</v>
      </c>
      <c r="D35" s="17" t="n">
        <f aca="false">B29*B31*C35</f>
        <v>0</v>
      </c>
    </row>
    <row r="38" customFormat="false" ht="15" hidden="false" customHeight="false" outlineLevel="0" collapsed="false">
      <c r="A38" s="20" t="s">
        <v>152</v>
      </c>
    </row>
    <row r="39" customFormat="false" ht="23.85" hidden="false" customHeight="false" outlineLevel="0" collapsed="false">
      <c r="A39" s="7" t="s">
        <v>137</v>
      </c>
      <c r="B39" s="7" t="s">
        <v>138</v>
      </c>
      <c r="C39" s="7" t="s">
        <v>139</v>
      </c>
    </row>
    <row r="40" customFormat="false" ht="15" hidden="false" customHeight="false" outlineLevel="0" collapsed="false">
      <c r="A40" s="21" t="s">
        <v>95</v>
      </c>
      <c r="B40" s="17" t="n">
        <f aca="false">COUNTIFS('Kunci Adjudikasi'!$O$5:$O$89,A40,'Kunci Adjudikasi'!$U$5:$U$89,"&lt;&gt;")+COUNTIFS('Kunci Adjudikasi'!$U$5:$U$89,A40,'Kunci Adjudikasi'!$O$5:$O$89,"&lt;&gt;")</f>
        <v>0</v>
      </c>
      <c r="C40" s="17" t="n">
        <f aca="false">B40^2</f>
        <v>0</v>
      </c>
    </row>
    <row r="41" customFormat="false" ht="15" hidden="false" customHeight="false" outlineLevel="0" collapsed="false">
      <c r="A41" s="21" t="s">
        <v>98</v>
      </c>
      <c r="B41" s="17" t="n">
        <f aca="false">COUNTIFS('Kunci Adjudikasi'!$O$5:$O$89,A41,'Kunci Adjudikasi'!$U$5:$U$89,"&lt;&gt;")+COUNTIFS('Kunci Adjudikasi'!$U$5:$U$89,A41,'Kunci Adjudikasi'!$O$5:$O$89,"&lt;&gt;")</f>
        <v>0</v>
      </c>
      <c r="C41" s="17" t="n">
        <f aca="false">B41^2</f>
        <v>0</v>
      </c>
    </row>
    <row r="42" customFormat="false" ht="15" hidden="false" customHeight="false" outlineLevel="0" collapsed="false">
      <c r="A42" s="21" t="s">
        <v>153</v>
      </c>
      <c r="B42" s="17" t="n">
        <f aca="false">COUNTIFS('Kunci Adjudikasi'!$O$5:$O$89,A42,'Kunci Adjudikasi'!$U$5:$U$89,"&lt;&gt;")+COUNTIFS('Kunci Adjudikasi'!$U$5:$U$89,A42,'Kunci Adjudikasi'!$O$5:$O$89,"&lt;&gt;")</f>
        <v>0</v>
      </c>
      <c r="C42" s="17" t="n">
        <f aca="false">B42^2</f>
        <v>0</v>
      </c>
    </row>
    <row r="43" customFormat="false" ht="15" hidden="false" customHeight="false" outlineLevel="0" collapsed="false">
      <c r="A43" s="21" t="s">
        <v>102</v>
      </c>
      <c r="B43" s="17" t="n">
        <f aca="false">COUNTIFS('Kunci Adjudikasi'!$O$5:$O$89,A43,'Kunci Adjudikasi'!$U$5:$U$89,"&lt;&gt;")+COUNTIFS('Kunci Adjudikasi'!$U$5:$U$89,A43,'Kunci Adjudikasi'!$O$5:$O$89,"&lt;&gt;")</f>
        <v>0</v>
      </c>
      <c r="C43" s="17" t="n">
        <f aca="false">B43^2</f>
        <v>0</v>
      </c>
    </row>
    <row r="44" customFormat="false" ht="15" hidden="false" customHeight="false" outlineLevel="0" collapsed="false">
      <c r="A44" s="21" t="s">
        <v>106</v>
      </c>
      <c r="B44" s="17" t="n">
        <f aca="false">COUNTIFS('Kunci Adjudikasi'!$O$5:$O$89,A44,'Kunci Adjudikasi'!$U$5:$U$89,"&lt;&gt;")+COUNTIFS('Kunci Adjudikasi'!$U$5:$U$89,A44,'Kunci Adjudikasi'!$O$5:$O$89,"&lt;&gt;")</f>
        <v>0</v>
      </c>
      <c r="C44" s="17" t="n">
        <f aca="false">B44^2</f>
        <v>0</v>
      </c>
    </row>
    <row r="45" customFormat="false" ht="15" hidden="false" customHeight="false" outlineLevel="0" collapsed="false">
      <c r="A45" s="21" t="s">
        <v>154</v>
      </c>
      <c r="B45" s="17" t="n">
        <f aca="false">COUNTIFS('Kunci Adjudikasi'!$O$5:$O$89,A45,'Kunci Adjudikasi'!$U$5:$U$89,"&lt;&gt;")+COUNTIFS('Kunci Adjudikasi'!$U$5:$U$89,A45,'Kunci Adjudikasi'!$O$5:$O$89,"&lt;&gt;")</f>
        <v>0</v>
      </c>
      <c r="C45" s="17" t="n">
        <f aca="false">B45^2</f>
        <v>0</v>
      </c>
    </row>
    <row r="46" customFormat="false" ht="15" hidden="false" customHeight="false" outlineLevel="0" collapsed="false">
      <c r="A46" s="21" t="s">
        <v>155</v>
      </c>
      <c r="B46" s="17" t="n">
        <f aca="false">COUNTIFS('Kunci Adjudikasi'!$O$5:$O$89,A46,'Kunci Adjudikasi'!$U$5:$U$89,"&lt;&gt;")+COUNTIFS('Kunci Adjudikasi'!$U$5:$U$89,A46,'Kunci Adjudikasi'!$O$5:$O$89,"&lt;&gt;")</f>
        <v>0</v>
      </c>
      <c r="C46" s="17" t="n">
        <f aca="false">B46^2</f>
        <v>0</v>
      </c>
    </row>
    <row r="47" customFormat="false" ht="15" hidden="false" customHeight="false" outlineLevel="0" collapsed="false">
      <c r="A47" s="21" t="s">
        <v>156</v>
      </c>
      <c r="B47" s="17" t="n">
        <f aca="false">COUNTIFS('Kunci Adjudikasi'!$O$5:$O$89,A47,'Kunci Adjudikasi'!$U$5:$U$89,"&lt;&gt;")+COUNTIFS('Kunci Adjudikasi'!$U$5:$U$89,A47,'Kunci Adjudikasi'!$O$5:$O$89,"&lt;&gt;")</f>
        <v>0</v>
      </c>
      <c r="C47" s="17" t="n">
        <f aca="false">B47^2</f>
        <v>0</v>
      </c>
    </row>
    <row r="48" customFormat="false" ht="15" hidden="false" customHeight="false" outlineLevel="0" collapsed="false">
      <c r="A48" s="21" t="s">
        <v>157</v>
      </c>
      <c r="B48" s="17" t="n">
        <f aca="false">COUNTIFS('Kunci Adjudikasi'!$O$5:$O$89,A48,'Kunci Adjudikasi'!$U$5:$U$89,"&lt;&gt;")+COUNTIFS('Kunci Adjudikasi'!$U$5:$U$89,A48,'Kunci Adjudikasi'!$O$5:$O$89,"&lt;&gt;")</f>
        <v>0</v>
      </c>
      <c r="C48" s="17" t="n">
        <f aca="false">B48^2</f>
        <v>0</v>
      </c>
    </row>
    <row r="49" customFormat="false" ht="15" hidden="false" customHeight="false" outlineLevel="0" collapsed="false">
      <c r="A49" s="21" t="s">
        <v>92</v>
      </c>
      <c r="B49" s="17" t="n">
        <f aca="false">COUNTIFS('Kunci Adjudikasi'!$O$5:$O$89,A49,'Kunci Adjudikasi'!$U$5:$U$89,"&lt;&gt;")+COUNTIFS('Kunci Adjudikasi'!$U$5:$U$89,A49,'Kunci Adjudikasi'!$O$5:$O$89,"&lt;&gt;")</f>
        <v>0</v>
      </c>
      <c r="C49" s="17" t="n">
        <f aca="false">B49^2</f>
        <v>0</v>
      </c>
    </row>
    <row r="50" customFormat="false" ht="15" hidden="false" customHeight="false" outlineLevel="0" collapsed="false">
      <c r="A50" s="21" t="s">
        <v>110</v>
      </c>
      <c r="B50" s="17" t="n">
        <f aca="false">COUNTIFS('Kunci Adjudikasi'!$O$5:$O$89,A50,'Kunci Adjudikasi'!$U$5:$U$89,"&lt;&gt;")+COUNTIFS('Kunci Adjudikasi'!$U$5:$U$89,A50,'Kunci Adjudikasi'!$O$5:$O$89,"&lt;&gt;")</f>
        <v>0</v>
      </c>
      <c r="C50" s="17" t="n">
        <f aca="false">B50^2</f>
        <v>0</v>
      </c>
    </row>
    <row r="51" customFormat="false" ht="15" hidden="false" customHeight="false" outlineLevel="0" collapsed="false">
      <c r="A51" s="21" t="s">
        <v>158</v>
      </c>
      <c r="B51" s="17" t="n">
        <f aca="false">COUNTIFS('Kunci Adjudikasi'!$O$5:$O$89,A51,'Kunci Adjudikasi'!$U$5:$U$89,"&lt;&gt;")+COUNTIFS('Kunci Adjudikasi'!$U$5:$U$89,A51,'Kunci Adjudikasi'!$O$5:$O$89,"&lt;&gt;")</f>
        <v>0</v>
      </c>
      <c r="C51" s="17" t="n">
        <f aca="false">B51^2</f>
        <v>0</v>
      </c>
    </row>
    <row r="52" customFormat="false" ht="15" hidden="false" customHeight="false" outlineLevel="0" collapsed="false">
      <c r="A52" s="21" t="s">
        <v>159</v>
      </c>
      <c r="B52" s="17" t="n">
        <f aca="false">COUNTIFS('Kunci Adjudikasi'!$O$5:$O$89,A52,'Kunci Adjudikasi'!$U$5:$U$89,"&lt;&gt;")+COUNTIFS('Kunci Adjudikasi'!$U$5:$U$89,A52,'Kunci Adjudikasi'!$O$5:$O$89,"&lt;&gt;")</f>
        <v>0</v>
      </c>
      <c r="C52" s="17" t="n">
        <f aca="false">B52^2</f>
        <v>0</v>
      </c>
    </row>
    <row r="53" customFormat="false" ht="15" hidden="false" customHeight="false" outlineLevel="0" collapsed="false">
      <c r="A53" s="21" t="s">
        <v>113</v>
      </c>
      <c r="B53" s="17" t="n">
        <f aca="false">COUNTIFS('Kunci Adjudikasi'!$O$5:$O$89,A53,'Kunci Adjudikasi'!$U$5:$U$89,"&lt;&gt;")+COUNTIFS('Kunci Adjudikasi'!$U$5:$U$89,A53,'Kunci Adjudikasi'!$O$5:$O$89,"&lt;&gt;")</f>
        <v>0</v>
      </c>
      <c r="C53" s="17" t="n">
        <f aca="false">B53^2</f>
        <v>0</v>
      </c>
    </row>
    <row r="54" customFormat="false" ht="15" hidden="false" customHeight="false" outlineLevel="0" collapsed="false">
      <c r="A54" s="21" t="s">
        <v>117</v>
      </c>
      <c r="B54" s="17" t="n">
        <f aca="false">COUNTIFS('Kunci Adjudikasi'!$O$5:$O$89,A54,'Kunci Adjudikasi'!$U$5:$U$89,"&lt;&gt;")+COUNTIFS('Kunci Adjudikasi'!$U$5:$U$89,A54,'Kunci Adjudikasi'!$O$5:$O$89,"&lt;&gt;")</f>
        <v>0</v>
      </c>
      <c r="C54" s="17" t="n">
        <f aca="false">B54^2</f>
        <v>0</v>
      </c>
    </row>
    <row r="55" customFormat="false" ht="15" hidden="false" customHeight="false" outlineLevel="0" collapsed="false">
      <c r="A55" s="21" t="s">
        <v>84</v>
      </c>
      <c r="B55" s="17" t="n">
        <f aca="false">COUNTIFS('Kunci Adjudikasi'!$O$5:$O$89,A55,'Kunci Adjudikasi'!$U$5:$U$89,"&lt;&gt;")+COUNTIFS('Kunci Adjudikasi'!$U$5:$U$89,A55,'Kunci Adjudikasi'!$O$5:$O$89,"&lt;&gt;")</f>
        <v>0</v>
      </c>
      <c r="C55" s="17" t="n">
        <f aca="false">B55^2</f>
        <v>0</v>
      </c>
    </row>
    <row r="56" customFormat="false" ht="15" hidden="false" customHeight="false" outlineLevel="0" collapsed="false">
      <c r="A56" s="21" t="s">
        <v>89</v>
      </c>
      <c r="B56" s="17" t="n">
        <f aca="false">COUNTIFS('Kunci Adjudikasi'!$O$5:$O$89,A56,'Kunci Adjudikasi'!$U$5:$U$89,"&lt;&gt;")+COUNTIFS('Kunci Adjudikasi'!$U$5:$U$89,A56,'Kunci Adjudikasi'!$O$5:$O$89,"&lt;&gt;")</f>
        <v>0</v>
      </c>
      <c r="C56" s="17" t="n">
        <f aca="false">B56^2</f>
        <v>0</v>
      </c>
    </row>
    <row r="57" customFormat="false" ht="15" hidden="false" customHeight="false" outlineLevel="0" collapsed="false">
      <c r="A57" s="21" t="s">
        <v>160</v>
      </c>
      <c r="B57" s="17" t="n">
        <f aca="false">COUNTIFS('Kunci Adjudikasi'!$O$5:$O$89,A57,'Kunci Adjudikasi'!$U$5:$U$89,"&lt;&gt;")+COUNTIFS('Kunci Adjudikasi'!$U$5:$U$89,A57,'Kunci Adjudikasi'!$O$5:$O$89,"&lt;&gt;")</f>
        <v>0</v>
      </c>
      <c r="C57" s="17" t="n">
        <f aca="false">B57^2</f>
        <v>0</v>
      </c>
    </row>
    <row r="60" customFormat="false" ht="15" hidden="false" customHeight="false" outlineLevel="0" collapsed="false">
      <c r="A60" s="20" t="s">
        <v>161</v>
      </c>
    </row>
    <row r="61" customFormat="false" ht="23.85" hidden="false" customHeight="false" outlineLevel="0" collapsed="false">
      <c r="A61" s="7" t="s">
        <v>137</v>
      </c>
      <c r="B61" s="7" t="s">
        <v>138</v>
      </c>
      <c r="C61" s="7" t="s">
        <v>139</v>
      </c>
    </row>
    <row r="62" customFormat="false" ht="15" hidden="false" customHeight="false" outlineLevel="0" collapsed="false">
      <c r="A62" s="21" t="s">
        <v>114</v>
      </c>
      <c r="B62" s="17" t="n">
        <f aca="false">COUNTIFS('Kunci Adjudikasi'!$P$5:$P$89,A62,'Kunci Adjudikasi'!$V$5:$V$89,"&lt;&gt;")+COUNTIFS('Kunci Adjudikasi'!$V$5:$V$89,A62,'Kunci Adjudikasi'!$P$5:$P$89,"&lt;&gt;")</f>
        <v>0</v>
      </c>
      <c r="C62" s="17" t="n">
        <f aca="false">B62^2</f>
        <v>0</v>
      </c>
    </row>
    <row r="63" customFormat="false" ht="15" hidden="false" customHeight="false" outlineLevel="0" collapsed="false">
      <c r="A63" s="21" t="s">
        <v>93</v>
      </c>
      <c r="B63" s="17" t="n">
        <f aca="false">COUNTIFS('Kunci Adjudikasi'!$P$5:$P$89,A63,'Kunci Adjudikasi'!$V$5:$V$89,"&lt;&gt;")+COUNTIFS('Kunci Adjudikasi'!$V$5:$V$89,A63,'Kunci Adjudikasi'!$P$5:$P$89,"&lt;&gt;")</f>
        <v>0</v>
      </c>
      <c r="C63" s="17" t="n">
        <f aca="false">B63^2</f>
        <v>0</v>
      </c>
    </row>
    <row r="64" customFormat="false" ht="15" hidden="false" customHeight="false" outlineLevel="0" collapsed="false">
      <c r="A64" s="21" t="s">
        <v>103</v>
      </c>
      <c r="B64" s="17" t="n">
        <f aca="false">COUNTIFS('Kunci Adjudikasi'!$P$5:$P$89,A64,'Kunci Adjudikasi'!$V$5:$V$89,"&lt;&gt;")+COUNTIFS('Kunci Adjudikasi'!$V$5:$V$89,A64,'Kunci Adjudikasi'!$P$5:$P$89,"&lt;&gt;")</f>
        <v>0</v>
      </c>
      <c r="C64" s="17" t="n">
        <f aca="false">B64^2</f>
        <v>0</v>
      </c>
    </row>
    <row r="65" customFormat="false" ht="15" hidden="false" customHeight="false" outlineLevel="0" collapsed="false">
      <c r="A65" s="21" t="s">
        <v>162</v>
      </c>
      <c r="B65" s="17" t="n">
        <f aca="false">COUNTIFS('Kunci Adjudikasi'!$P$5:$P$89,A65,'Kunci Adjudikasi'!$V$5:$V$89,"&lt;&gt;")+COUNTIFS('Kunci Adjudikasi'!$V$5:$V$89,A65,'Kunci Adjudikasi'!$P$5:$P$89,"&lt;&gt;")</f>
        <v>0</v>
      </c>
      <c r="C65" s="17" t="n">
        <f aca="false">B65^2</f>
        <v>0</v>
      </c>
    </row>
    <row r="66" customFormat="false" ht="15" hidden="false" customHeight="false" outlineLevel="0" collapsed="false">
      <c r="A66" s="21" t="s">
        <v>118</v>
      </c>
      <c r="B66" s="17" t="n">
        <f aca="false">COUNTIFS('Kunci Adjudikasi'!$P$5:$P$89,A66,'Kunci Adjudikasi'!$V$5:$V$89,"&lt;&gt;")+COUNTIFS('Kunci Adjudikasi'!$V$5:$V$89,A66,'Kunci Adjudikasi'!$P$5:$P$89,"&lt;&gt;")</f>
        <v>0</v>
      </c>
      <c r="C66" s="17" t="n">
        <f aca="false">B66^2</f>
        <v>0</v>
      </c>
    </row>
    <row r="67" customFormat="false" ht="15" hidden="false" customHeight="false" outlineLevel="0" collapsed="false">
      <c r="A67" s="21" t="s">
        <v>96</v>
      </c>
      <c r="B67" s="17" t="n">
        <f aca="false">COUNTIFS('Kunci Adjudikasi'!$P$5:$P$89,A67,'Kunci Adjudikasi'!$V$5:$V$89,"&lt;&gt;")+COUNTIFS('Kunci Adjudikasi'!$V$5:$V$89,A67,'Kunci Adjudikasi'!$P$5:$P$89,"&lt;&gt;")</f>
        <v>0</v>
      </c>
      <c r="C67" s="17" t="n">
        <f aca="false">B67^2</f>
        <v>0</v>
      </c>
    </row>
    <row r="68" customFormat="false" ht="15" hidden="false" customHeight="false" outlineLevel="0" collapsed="false">
      <c r="A68" s="21" t="s">
        <v>99</v>
      </c>
      <c r="B68" s="17" t="n">
        <f aca="false">COUNTIFS('Kunci Adjudikasi'!$P$5:$P$89,A68,'Kunci Adjudikasi'!$V$5:$V$89,"&lt;&gt;")+COUNTIFS('Kunci Adjudikasi'!$V$5:$V$89,A68,'Kunci Adjudikasi'!$P$5:$P$89,"&lt;&gt;")</f>
        <v>0</v>
      </c>
      <c r="C68" s="17" t="n">
        <f aca="false">B68^2</f>
        <v>0</v>
      </c>
    </row>
    <row r="69" customFormat="false" ht="15" hidden="false" customHeight="false" outlineLevel="0" collapsed="false">
      <c r="A69" s="21" t="s">
        <v>85</v>
      </c>
      <c r="B69" s="17" t="n">
        <f aca="false">COUNTIFS('Kunci Adjudikasi'!$P$5:$P$89,A69,'Kunci Adjudikasi'!$V$5:$V$89,"&lt;&gt;")+COUNTIFS('Kunci Adjudikasi'!$V$5:$V$89,A69,'Kunci Adjudikasi'!$P$5:$P$89,"&lt;&gt;")</f>
        <v>0</v>
      </c>
      <c r="C69" s="17" t="n">
        <f aca="false">B69^2</f>
        <v>0</v>
      </c>
    </row>
    <row r="70" customFormat="false" ht="15" hidden="false" customHeight="false" outlineLevel="0" collapsed="false">
      <c r="A70" s="21" t="s">
        <v>90</v>
      </c>
      <c r="B70" s="17" t="n">
        <f aca="false">COUNTIFS('Kunci Adjudikasi'!$P$5:$P$89,A70,'Kunci Adjudikasi'!$V$5:$V$89,"&lt;&gt;")+COUNTIFS('Kunci Adjudikasi'!$V$5:$V$89,A70,'Kunci Adjudikasi'!$P$5:$P$89,"&lt;&gt;")</f>
        <v>0</v>
      </c>
      <c r="C70" s="17" t="n">
        <f aca="false">B70^2</f>
        <v>0</v>
      </c>
    </row>
    <row r="73" customFormat="false" ht="15" hidden="false" customHeight="false" outlineLevel="0" collapsed="false">
      <c r="A73" s="20" t="s">
        <v>163</v>
      </c>
    </row>
    <row r="74" customFormat="false" ht="23.85" hidden="false" customHeight="false" outlineLevel="0" collapsed="false">
      <c r="A74" s="7" t="s">
        <v>137</v>
      </c>
      <c r="B74" s="7" t="s">
        <v>138</v>
      </c>
      <c r="C74" s="7" t="s">
        <v>139</v>
      </c>
    </row>
    <row r="75" customFormat="false" ht="15" hidden="false" customHeight="false" outlineLevel="0" collapsed="false">
      <c r="A75" s="21" t="s">
        <v>107</v>
      </c>
      <c r="B75" s="17" t="n">
        <f aca="false">COUNTIFS('Kunci Adjudikasi'!$Q$5:$Q$89,A75,'Kunci Adjudikasi'!$W$5:$W$89,"&lt;&gt;")+COUNTIFS('Kunci Adjudikasi'!$W$5:$W$89,A75,'Kunci Adjudikasi'!$Q$5:$Q$89,"&lt;&gt;")</f>
        <v>0</v>
      </c>
      <c r="C75" s="17" t="n">
        <f aca="false">B75^2</f>
        <v>0</v>
      </c>
    </row>
    <row r="76" customFormat="false" ht="15" hidden="false" customHeight="false" outlineLevel="0" collapsed="false">
      <c r="A76" s="21" t="s">
        <v>115</v>
      </c>
      <c r="B76" s="17" t="n">
        <f aca="false">COUNTIFS('Kunci Adjudikasi'!$Q$5:$Q$89,A76,'Kunci Adjudikasi'!$W$5:$W$89,"&lt;&gt;")+COUNTIFS('Kunci Adjudikasi'!$W$5:$W$89,A76,'Kunci Adjudikasi'!$Q$5:$Q$89,"&lt;&gt;")</f>
        <v>0</v>
      </c>
      <c r="C76" s="17" t="n">
        <f aca="false">B76^2</f>
        <v>0</v>
      </c>
    </row>
    <row r="77" customFormat="false" ht="15" hidden="false" customHeight="false" outlineLevel="0" collapsed="false">
      <c r="A77" s="21" t="s">
        <v>164</v>
      </c>
      <c r="B77" s="17" t="n">
        <f aca="false">COUNTIFS('Kunci Adjudikasi'!$Q$5:$Q$89,A77,'Kunci Adjudikasi'!$W$5:$W$89,"&lt;&gt;")+COUNTIFS('Kunci Adjudikasi'!$W$5:$W$89,A77,'Kunci Adjudikasi'!$Q$5:$Q$89,"&lt;&gt;")</f>
        <v>0</v>
      </c>
      <c r="C77" s="17" t="n">
        <f aca="false">B77^2</f>
        <v>0</v>
      </c>
    </row>
    <row r="78" customFormat="false" ht="15" hidden="false" customHeight="false" outlineLevel="0" collapsed="false">
      <c r="A78" s="21" t="s">
        <v>109</v>
      </c>
      <c r="B78" s="17" t="n">
        <f aca="false">COUNTIFS('Kunci Adjudikasi'!$Q$5:$Q$89,A78,'Kunci Adjudikasi'!$W$5:$W$89,"&lt;&gt;")+COUNTIFS('Kunci Adjudikasi'!$W$5:$W$89,A78,'Kunci Adjudikasi'!$Q$5:$Q$89,"&lt;&gt;")</f>
        <v>0</v>
      </c>
      <c r="C78" s="17" t="n">
        <f aca="false">B78^2</f>
        <v>0</v>
      </c>
    </row>
    <row r="79" customFormat="false" ht="15" hidden="false" customHeight="false" outlineLevel="0" collapsed="false">
      <c r="A79" s="21" t="s">
        <v>165</v>
      </c>
      <c r="B79" s="17" t="n">
        <f aca="false">COUNTIFS('Kunci Adjudikasi'!$Q$5:$Q$89,A79,'Kunci Adjudikasi'!$W$5:$W$89,"&lt;&gt;")+COUNTIFS('Kunci Adjudikasi'!$W$5:$W$89,A79,'Kunci Adjudikasi'!$Q$5:$Q$89,"&lt;&gt;")</f>
        <v>0</v>
      </c>
      <c r="C79" s="17" t="n">
        <f aca="false">B79^2</f>
        <v>0</v>
      </c>
    </row>
    <row r="80" customFormat="false" ht="15" hidden="false" customHeight="false" outlineLevel="0" collapsed="false">
      <c r="A80" s="21" t="s">
        <v>111</v>
      </c>
      <c r="B80" s="17" t="n">
        <f aca="false">COUNTIFS('Kunci Adjudikasi'!$Q$5:$Q$89,A80,'Kunci Adjudikasi'!$W$5:$W$89,"&lt;&gt;")+COUNTIFS('Kunci Adjudikasi'!$W$5:$W$89,A80,'Kunci Adjudikasi'!$Q$5:$Q$89,"&lt;&gt;")</f>
        <v>0</v>
      </c>
      <c r="C80" s="17" t="n">
        <f aca="false">B80^2</f>
        <v>0</v>
      </c>
    </row>
    <row r="81" customFormat="false" ht="15" hidden="false" customHeight="false" outlineLevel="0" collapsed="false">
      <c r="A81" s="21" t="s">
        <v>104</v>
      </c>
      <c r="B81" s="17" t="n">
        <f aca="false">COUNTIFS('Kunci Adjudikasi'!$Q$5:$Q$89,A81,'Kunci Adjudikasi'!$W$5:$W$89,"&lt;&gt;")+COUNTIFS('Kunci Adjudikasi'!$W$5:$W$89,A81,'Kunci Adjudikasi'!$Q$5:$Q$89,"&lt;&gt;")</f>
        <v>0</v>
      </c>
      <c r="C81" s="17" t="n">
        <f aca="false">B81^2</f>
        <v>0</v>
      </c>
    </row>
    <row r="82" customFormat="false" ht="15" hidden="false" customHeight="false" outlineLevel="0" collapsed="false">
      <c r="A82" s="21" t="s">
        <v>86</v>
      </c>
      <c r="B82" s="17" t="n">
        <f aca="false">COUNTIFS('Kunci Adjudikasi'!$Q$5:$Q$89,A82,'Kunci Adjudikasi'!$W$5:$W$89,"&lt;&gt;")+COUNTIFS('Kunci Adjudikasi'!$W$5:$W$89,A82,'Kunci Adjudikasi'!$Q$5:$Q$89,"&lt;&gt;")</f>
        <v>0</v>
      </c>
      <c r="C82" s="17" t="n">
        <f aca="false">B82^2</f>
        <v>0</v>
      </c>
    </row>
    <row r="85" customFormat="false" ht="15" hidden="false" customHeight="false" outlineLevel="0" collapsed="false">
      <c r="A85" s="20" t="s">
        <v>166</v>
      </c>
    </row>
    <row r="86" customFormat="false" ht="23.85" hidden="false" customHeight="false" outlineLevel="0" collapsed="false">
      <c r="A86" s="7" t="s">
        <v>137</v>
      </c>
      <c r="B86" s="7" t="s">
        <v>138</v>
      </c>
      <c r="C86" s="7" t="s">
        <v>139</v>
      </c>
    </row>
    <row r="87" customFormat="false" ht="15" hidden="false" customHeight="false" outlineLevel="0" collapsed="false">
      <c r="A87" s="21" t="s">
        <v>94</v>
      </c>
      <c r="B87" s="17" t="n">
        <f aca="false">COUNTIFS('Kunci Adjudikasi'!$R$5:$R$89,A87,'Kunci Adjudikasi'!$X$5:$X$89,"&lt;&gt;")+COUNTIFS('Kunci Adjudikasi'!$X$5:$X$89,A87,'Kunci Adjudikasi'!$R$5:$R$89,"&lt;&gt;")</f>
        <v>0</v>
      </c>
      <c r="C87" s="17" t="n">
        <f aca="false">B87^2</f>
        <v>0</v>
      </c>
    </row>
    <row r="88" customFormat="false" ht="15" hidden="false" customHeight="false" outlineLevel="0" collapsed="false">
      <c r="A88" s="21" t="s">
        <v>167</v>
      </c>
      <c r="B88" s="17" t="n">
        <f aca="false">COUNTIFS('Kunci Adjudikasi'!$R$5:$R$89,A88,'Kunci Adjudikasi'!$X$5:$X$89,"&lt;&gt;")+COUNTIFS('Kunci Adjudikasi'!$X$5:$X$89,A88,'Kunci Adjudikasi'!$R$5:$R$89,"&lt;&gt;")</f>
        <v>0</v>
      </c>
      <c r="C88" s="17" t="n">
        <f aca="false">B88^2</f>
        <v>0</v>
      </c>
    </row>
    <row r="89" customFormat="false" ht="15" hidden="false" customHeight="false" outlineLevel="0" collapsed="false">
      <c r="A89" s="21" t="s">
        <v>105</v>
      </c>
      <c r="B89" s="17" t="n">
        <f aca="false">COUNTIFS('Kunci Adjudikasi'!$R$5:$R$89,A89,'Kunci Adjudikasi'!$X$5:$X$89,"&lt;&gt;")+COUNTIFS('Kunci Adjudikasi'!$X$5:$X$89,A89,'Kunci Adjudikasi'!$R$5:$R$89,"&lt;&gt;")</f>
        <v>0</v>
      </c>
      <c r="C89" s="17" t="n">
        <f aca="false">B89^2</f>
        <v>0</v>
      </c>
    </row>
    <row r="90" customFormat="false" ht="15" hidden="false" customHeight="false" outlineLevel="0" collapsed="false">
      <c r="A90" s="21" t="s">
        <v>97</v>
      </c>
      <c r="B90" s="17" t="n">
        <f aca="false">COUNTIFS('Kunci Adjudikasi'!$R$5:$R$89,A90,'Kunci Adjudikasi'!$X$5:$X$89,"&lt;&gt;")+COUNTIFS('Kunci Adjudikasi'!$X$5:$X$89,A90,'Kunci Adjudikasi'!$R$5:$R$89,"&lt;&gt;")</f>
        <v>0</v>
      </c>
      <c r="C90" s="17" t="n">
        <f aca="false">B90^2</f>
        <v>0</v>
      </c>
    </row>
    <row r="91" customFormat="false" ht="15" hidden="false" customHeight="false" outlineLevel="0" collapsed="false">
      <c r="A91" s="21" t="s">
        <v>87</v>
      </c>
      <c r="B91" s="17" t="n">
        <f aca="false">COUNTIFS('Kunci Adjudikasi'!$R$5:$R$89,A91,'Kunci Adjudikasi'!$X$5:$X$89,"&lt;&gt;")+COUNTIFS('Kunci Adjudikasi'!$X$5:$X$89,A91,'Kunci Adjudikasi'!$R$5:$R$89,"&lt;&gt;")</f>
        <v>0</v>
      </c>
      <c r="C91" s="17" t="n">
        <f aca="false">B91^2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58"/>
  </cols>
  <sheetData>
    <row r="1" customFormat="false" ht="17.35" hidden="false" customHeight="false" outlineLevel="0" collapsed="false">
      <c r="A1" s="1" t="s">
        <v>168</v>
      </c>
    </row>
    <row r="2" customFormat="false" ht="15" hidden="false" customHeight="false" outlineLevel="0" collapsed="false">
      <c r="A2" s="2" t="s">
        <v>169</v>
      </c>
    </row>
    <row r="4" customFormat="false" ht="15" hidden="false" customHeight="false" outlineLevel="0" collapsed="false">
      <c r="A4" s="7" t="s">
        <v>121</v>
      </c>
      <c r="B4" s="7" t="s">
        <v>170</v>
      </c>
      <c r="C4" s="7" t="s">
        <v>171</v>
      </c>
    </row>
    <row r="5" customFormat="false" ht="15" hidden="false" customHeight="false" outlineLevel="0" collapsed="false">
      <c r="A5" s="17" t="s">
        <v>127</v>
      </c>
      <c r="B5" s="21" t="s">
        <v>108</v>
      </c>
      <c r="C5" s="17" t="s">
        <v>172</v>
      </c>
    </row>
    <row r="6" customFormat="false" ht="15" hidden="false" customHeight="false" outlineLevel="0" collapsed="false">
      <c r="A6" s="17" t="s">
        <v>127</v>
      </c>
      <c r="B6" s="21" t="s">
        <v>140</v>
      </c>
      <c r="C6" s="17" t="s">
        <v>173</v>
      </c>
    </row>
    <row r="7" customFormat="false" ht="15" hidden="false" customHeight="false" outlineLevel="0" collapsed="false">
      <c r="A7" s="17" t="s">
        <v>127</v>
      </c>
      <c r="B7" s="21" t="s">
        <v>141</v>
      </c>
      <c r="C7" s="17" t="s">
        <v>174</v>
      </c>
    </row>
    <row r="8" customFormat="false" ht="15" hidden="false" customHeight="false" outlineLevel="0" collapsed="false">
      <c r="A8" s="17" t="s">
        <v>127</v>
      </c>
      <c r="B8" s="21" t="s">
        <v>100</v>
      </c>
      <c r="C8" s="17" t="s">
        <v>175</v>
      </c>
    </row>
    <row r="9" customFormat="false" ht="15" hidden="false" customHeight="false" outlineLevel="0" collapsed="false">
      <c r="A9" s="17" t="s">
        <v>127</v>
      </c>
      <c r="B9" s="21" t="s">
        <v>112</v>
      </c>
      <c r="C9" s="17" t="s">
        <v>176</v>
      </c>
    </row>
    <row r="10" customFormat="false" ht="15" hidden="false" customHeight="false" outlineLevel="0" collapsed="false">
      <c r="A10" s="17" t="s">
        <v>127</v>
      </c>
      <c r="B10" s="21" t="s">
        <v>116</v>
      </c>
      <c r="C10" s="17" t="s">
        <v>177</v>
      </c>
    </row>
    <row r="11" customFormat="false" ht="15" hidden="false" customHeight="false" outlineLevel="0" collapsed="false">
      <c r="A11" s="17" t="s">
        <v>127</v>
      </c>
      <c r="B11" s="21" t="s">
        <v>142</v>
      </c>
      <c r="C11" s="17" t="s">
        <v>178</v>
      </c>
    </row>
    <row r="12" customFormat="false" ht="15" hidden="false" customHeight="false" outlineLevel="0" collapsed="false">
      <c r="A12" s="17" t="s">
        <v>127</v>
      </c>
      <c r="B12" s="21" t="s">
        <v>91</v>
      </c>
      <c r="C12" s="17" t="s">
        <v>179</v>
      </c>
    </row>
    <row r="13" customFormat="false" ht="15" hidden="false" customHeight="false" outlineLevel="0" collapsed="false">
      <c r="A13" s="17" t="s">
        <v>127</v>
      </c>
      <c r="B13" s="21" t="s">
        <v>82</v>
      </c>
      <c r="C13" s="17" t="s">
        <v>180</v>
      </c>
    </row>
    <row r="15" customFormat="false" ht="15" hidden="false" customHeight="false" outlineLevel="0" collapsed="false">
      <c r="A15" s="7" t="s">
        <v>121</v>
      </c>
      <c r="B15" s="7" t="s">
        <v>170</v>
      </c>
      <c r="C15" s="7" t="s">
        <v>171</v>
      </c>
    </row>
    <row r="16" customFormat="false" ht="15" hidden="false" customHeight="false" outlineLevel="0" collapsed="false">
      <c r="A16" s="17" t="s">
        <v>129</v>
      </c>
      <c r="B16" s="21" t="s">
        <v>88</v>
      </c>
      <c r="C16" s="17" t="s">
        <v>181</v>
      </c>
    </row>
    <row r="17" customFormat="false" ht="15" hidden="false" customHeight="false" outlineLevel="0" collapsed="false">
      <c r="A17" s="17" t="s">
        <v>129</v>
      </c>
      <c r="B17" s="21" t="s">
        <v>83</v>
      </c>
      <c r="C17" s="17" t="s">
        <v>182</v>
      </c>
    </row>
    <row r="18" customFormat="false" ht="15" hidden="false" customHeight="false" outlineLevel="0" collapsed="false">
      <c r="A18" s="17" t="s">
        <v>129</v>
      </c>
      <c r="B18" s="21" t="s">
        <v>101</v>
      </c>
      <c r="C18" s="17" t="s">
        <v>183</v>
      </c>
    </row>
    <row r="20" customFormat="false" ht="15" hidden="false" customHeight="false" outlineLevel="0" collapsed="false">
      <c r="A20" s="7" t="s">
        <v>121</v>
      </c>
      <c r="B20" s="7" t="s">
        <v>170</v>
      </c>
      <c r="C20" s="7" t="s">
        <v>171</v>
      </c>
    </row>
    <row r="21" customFormat="false" ht="15" hidden="false" customHeight="false" outlineLevel="0" collapsed="false">
      <c r="A21" s="17" t="s">
        <v>131</v>
      </c>
      <c r="B21" s="21" t="s">
        <v>95</v>
      </c>
      <c r="C21" s="17" t="s">
        <v>184</v>
      </c>
    </row>
    <row r="22" customFormat="false" ht="15" hidden="false" customHeight="false" outlineLevel="0" collapsed="false">
      <c r="A22" s="17" t="s">
        <v>131</v>
      </c>
      <c r="B22" s="21" t="s">
        <v>98</v>
      </c>
      <c r="C22" s="17" t="s">
        <v>185</v>
      </c>
    </row>
    <row r="23" customFormat="false" ht="15" hidden="false" customHeight="false" outlineLevel="0" collapsed="false">
      <c r="A23" s="17" t="s">
        <v>131</v>
      </c>
      <c r="B23" s="21" t="s">
        <v>153</v>
      </c>
      <c r="C23" s="17" t="s">
        <v>186</v>
      </c>
    </row>
    <row r="24" customFormat="false" ht="15" hidden="false" customHeight="false" outlineLevel="0" collapsed="false">
      <c r="A24" s="17" t="s">
        <v>131</v>
      </c>
      <c r="B24" s="21" t="s">
        <v>102</v>
      </c>
      <c r="C24" s="17" t="s">
        <v>187</v>
      </c>
    </row>
    <row r="25" customFormat="false" ht="15" hidden="false" customHeight="false" outlineLevel="0" collapsed="false">
      <c r="A25" s="17" t="s">
        <v>131</v>
      </c>
      <c r="B25" s="21" t="s">
        <v>106</v>
      </c>
      <c r="C25" s="17" t="s">
        <v>188</v>
      </c>
    </row>
    <row r="26" customFormat="false" ht="15" hidden="false" customHeight="false" outlineLevel="0" collapsed="false">
      <c r="A26" s="17" t="s">
        <v>131</v>
      </c>
      <c r="B26" s="21" t="s">
        <v>154</v>
      </c>
      <c r="C26" s="17" t="s">
        <v>189</v>
      </c>
    </row>
    <row r="27" customFormat="false" ht="15" hidden="false" customHeight="false" outlineLevel="0" collapsed="false">
      <c r="A27" s="17" t="s">
        <v>131</v>
      </c>
      <c r="B27" s="21" t="s">
        <v>155</v>
      </c>
      <c r="C27" s="17" t="s">
        <v>190</v>
      </c>
    </row>
    <row r="28" customFormat="false" ht="15" hidden="false" customHeight="false" outlineLevel="0" collapsed="false">
      <c r="A28" s="17" t="s">
        <v>131</v>
      </c>
      <c r="B28" s="21" t="s">
        <v>156</v>
      </c>
      <c r="C28" s="17" t="s">
        <v>191</v>
      </c>
    </row>
    <row r="29" customFormat="false" ht="15" hidden="false" customHeight="false" outlineLevel="0" collapsed="false">
      <c r="A29" s="17" t="s">
        <v>131</v>
      </c>
      <c r="B29" s="21" t="s">
        <v>157</v>
      </c>
      <c r="C29" s="17" t="s">
        <v>192</v>
      </c>
    </row>
    <row r="30" customFormat="false" ht="15" hidden="false" customHeight="false" outlineLevel="0" collapsed="false">
      <c r="A30" s="17" t="s">
        <v>131</v>
      </c>
      <c r="B30" s="21" t="s">
        <v>92</v>
      </c>
      <c r="C30" s="17" t="s">
        <v>193</v>
      </c>
    </row>
    <row r="31" customFormat="false" ht="15" hidden="false" customHeight="false" outlineLevel="0" collapsed="false">
      <c r="A31" s="17" t="s">
        <v>131</v>
      </c>
      <c r="B31" s="21" t="s">
        <v>110</v>
      </c>
      <c r="C31" s="17" t="s">
        <v>194</v>
      </c>
    </row>
    <row r="32" customFormat="false" ht="15" hidden="false" customHeight="false" outlineLevel="0" collapsed="false">
      <c r="A32" s="17" t="s">
        <v>131</v>
      </c>
      <c r="B32" s="21" t="s">
        <v>158</v>
      </c>
      <c r="C32" s="17" t="s">
        <v>195</v>
      </c>
    </row>
    <row r="33" customFormat="false" ht="15" hidden="false" customHeight="false" outlineLevel="0" collapsed="false">
      <c r="A33" s="17" t="s">
        <v>131</v>
      </c>
      <c r="B33" s="21" t="s">
        <v>159</v>
      </c>
      <c r="C33" s="17" t="s">
        <v>196</v>
      </c>
    </row>
    <row r="34" customFormat="false" ht="15" hidden="false" customHeight="false" outlineLevel="0" collapsed="false">
      <c r="A34" s="17" t="s">
        <v>131</v>
      </c>
      <c r="B34" s="21" t="s">
        <v>113</v>
      </c>
      <c r="C34" s="17" t="s">
        <v>197</v>
      </c>
    </row>
    <row r="35" customFormat="false" ht="15" hidden="false" customHeight="false" outlineLevel="0" collapsed="false">
      <c r="A35" s="17" t="s">
        <v>131</v>
      </c>
      <c r="B35" s="21" t="s">
        <v>117</v>
      </c>
      <c r="C35" s="17" t="s">
        <v>198</v>
      </c>
    </row>
    <row r="36" customFormat="false" ht="15" hidden="false" customHeight="false" outlineLevel="0" collapsed="false">
      <c r="A36" s="17" t="s">
        <v>131</v>
      </c>
      <c r="B36" s="21" t="s">
        <v>84</v>
      </c>
      <c r="C36" s="17" t="s">
        <v>199</v>
      </c>
    </row>
    <row r="37" customFormat="false" ht="15" hidden="false" customHeight="false" outlineLevel="0" collapsed="false">
      <c r="A37" s="17" t="s">
        <v>131</v>
      </c>
      <c r="B37" s="21" t="s">
        <v>89</v>
      </c>
      <c r="C37" s="17" t="s">
        <v>200</v>
      </c>
    </row>
    <row r="38" customFormat="false" ht="15" hidden="false" customHeight="false" outlineLevel="0" collapsed="false">
      <c r="A38" s="17" t="s">
        <v>131</v>
      </c>
      <c r="B38" s="21" t="s">
        <v>160</v>
      </c>
      <c r="C38" s="17" t="s">
        <v>201</v>
      </c>
    </row>
    <row r="40" customFormat="false" ht="15" hidden="false" customHeight="false" outlineLevel="0" collapsed="false">
      <c r="A40" s="7" t="s">
        <v>121</v>
      </c>
      <c r="B40" s="7" t="s">
        <v>170</v>
      </c>
      <c r="C40" s="7" t="s">
        <v>171</v>
      </c>
    </row>
    <row r="41" customFormat="false" ht="15" hidden="false" customHeight="false" outlineLevel="0" collapsed="false">
      <c r="A41" s="17" t="s">
        <v>132</v>
      </c>
      <c r="B41" s="21" t="s">
        <v>114</v>
      </c>
      <c r="C41" s="17" t="s">
        <v>202</v>
      </c>
    </row>
    <row r="42" customFormat="false" ht="15" hidden="false" customHeight="false" outlineLevel="0" collapsed="false">
      <c r="A42" s="17" t="s">
        <v>132</v>
      </c>
      <c r="B42" s="21" t="s">
        <v>93</v>
      </c>
      <c r="C42" s="17" t="s">
        <v>203</v>
      </c>
    </row>
    <row r="43" customFormat="false" ht="15" hidden="false" customHeight="false" outlineLevel="0" collapsed="false">
      <c r="A43" s="17" t="s">
        <v>132</v>
      </c>
      <c r="B43" s="21" t="s">
        <v>103</v>
      </c>
      <c r="C43" s="17" t="s">
        <v>204</v>
      </c>
    </row>
    <row r="44" customFormat="false" ht="15" hidden="false" customHeight="false" outlineLevel="0" collapsed="false">
      <c r="A44" s="17" t="s">
        <v>132</v>
      </c>
      <c r="B44" s="21" t="s">
        <v>162</v>
      </c>
      <c r="C44" s="17" t="s">
        <v>205</v>
      </c>
    </row>
    <row r="45" customFormat="false" ht="15" hidden="false" customHeight="false" outlineLevel="0" collapsed="false">
      <c r="A45" s="17" t="s">
        <v>132</v>
      </c>
      <c r="B45" s="21" t="s">
        <v>118</v>
      </c>
      <c r="C45" s="17" t="s">
        <v>206</v>
      </c>
    </row>
    <row r="46" customFormat="false" ht="15" hidden="false" customHeight="false" outlineLevel="0" collapsed="false">
      <c r="A46" s="17" t="s">
        <v>132</v>
      </c>
      <c r="B46" s="21" t="s">
        <v>96</v>
      </c>
      <c r="C46" s="17" t="s">
        <v>207</v>
      </c>
    </row>
    <row r="47" customFormat="false" ht="15" hidden="false" customHeight="false" outlineLevel="0" collapsed="false">
      <c r="A47" s="17" t="s">
        <v>132</v>
      </c>
      <c r="B47" s="21" t="s">
        <v>99</v>
      </c>
      <c r="C47" s="17" t="s">
        <v>208</v>
      </c>
    </row>
    <row r="48" customFormat="false" ht="15" hidden="false" customHeight="false" outlineLevel="0" collapsed="false">
      <c r="A48" s="17" t="s">
        <v>132</v>
      </c>
      <c r="B48" s="21" t="s">
        <v>85</v>
      </c>
      <c r="C48" s="17" t="s">
        <v>209</v>
      </c>
    </row>
    <row r="49" customFormat="false" ht="15" hidden="false" customHeight="false" outlineLevel="0" collapsed="false">
      <c r="A49" s="17" t="s">
        <v>132</v>
      </c>
      <c r="B49" s="21" t="s">
        <v>90</v>
      </c>
      <c r="C49" s="17" t="s">
        <v>210</v>
      </c>
    </row>
    <row r="51" customFormat="false" ht="15" hidden="false" customHeight="false" outlineLevel="0" collapsed="false">
      <c r="A51" s="7" t="s">
        <v>121</v>
      </c>
      <c r="B51" s="7" t="s">
        <v>170</v>
      </c>
      <c r="C51" s="7" t="s">
        <v>171</v>
      </c>
    </row>
    <row r="52" customFormat="false" ht="15" hidden="false" customHeight="false" outlineLevel="0" collapsed="false">
      <c r="A52" s="17" t="s">
        <v>133</v>
      </c>
      <c r="B52" s="21" t="s">
        <v>107</v>
      </c>
      <c r="C52" s="17" t="s">
        <v>211</v>
      </c>
    </row>
    <row r="53" customFormat="false" ht="15" hidden="false" customHeight="false" outlineLevel="0" collapsed="false">
      <c r="A53" s="17" t="s">
        <v>133</v>
      </c>
      <c r="B53" s="21" t="s">
        <v>115</v>
      </c>
      <c r="C53" s="17" t="s">
        <v>212</v>
      </c>
    </row>
    <row r="54" customFormat="false" ht="15" hidden="false" customHeight="false" outlineLevel="0" collapsed="false">
      <c r="A54" s="17" t="s">
        <v>133</v>
      </c>
      <c r="B54" s="21" t="s">
        <v>164</v>
      </c>
      <c r="C54" s="17" t="s">
        <v>213</v>
      </c>
    </row>
    <row r="55" customFormat="false" ht="15" hidden="false" customHeight="false" outlineLevel="0" collapsed="false">
      <c r="A55" s="17" t="s">
        <v>133</v>
      </c>
      <c r="B55" s="21" t="s">
        <v>109</v>
      </c>
      <c r="C55" s="17" t="s">
        <v>214</v>
      </c>
    </row>
    <row r="56" customFormat="false" ht="15" hidden="false" customHeight="false" outlineLevel="0" collapsed="false">
      <c r="A56" s="17" t="s">
        <v>133</v>
      </c>
      <c r="B56" s="21" t="s">
        <v>165</v>
      </c>
      <c r="C56" s="17" t="s">
        <v>215</v>
      </c>
    </row>
    <row r="57" customFormat="false" ht="15" hidden="false" customHeight="false" outlineLevel="0" collapsed="false">
      <c r="A57" s="17" t="s">
        <v>133</v>
      </c>
      <c r="B57" s="21" t="s">
        <v>111</v>
      </c>
      <c r="C57" s="17" t="s">
        <v>216</v>
      </c>
    </row>
    <row r="58" customFormat="false" ht="15" hidden="false" customHeight="false" outlineLevel="0" collapsed="false">
      <c r="A58" s="17" t="s">
        <v>133</v>
      </c>
      <c r="B58" s="21" t="s">
        <v>104</v>
      </c>
      <c r="C58" s="17" t="s">
        <v>217</v>
      </c>
    </row>
    <row r="59" customFormat="false" ht="15" hidden="false" customHeight="false" outlineLevel="0" collapsed="false">
      <c r="A59" s="17" t="s">
        <v>133</v>
      </c>
      <c r="B59" s="21" t="s">
        <v>86</v>
      </c>
      <c r="C59" s="17" t="s">
        <v>218</v>
      </c>
    </row>
    <row r="61" customFormat="false" ht="15" hidden="false" customHeight="false" outlineLevel="0" collapsed="false">
      <c r="A61" s="7" t="s">
        <v>121</v>
      </c>
      <c r="B61" s="7" t="s">
        <v>170</v>
      </c>
      <c r="C61" s="7" t="s">
        <v>171</v>
      </c>
    </row>
    <row r="62" customFormat="false" ht="15" hidden="false" customHeight="false" outlineLevel="0" collapsed="false">
      <c r="A62" s="17" t="s">
        <v>134</v>
      </c>
      <c r="B62" s="21" t="s">
        <v>94</v>
      </c>
      <c r="C62" s="17" t="s">
        <v>219</v>
      </c>
    </row>
    <row r="63" customFormat="false" ht="15" hidden="false" customHeight="false" outlineLevel="0" collapsed="false">
      <c r="A63" s="17" t="s">
        <v>134</v>
      </c>
      <c r="B63" s="21" t="s">
        <v>167</v>
      </c>
      <c r="C63" s="17" t="s">
        <v>220</v>
      </c>
    </row>
    <row r="64" customFormat="false" ht="15" hidden="false" customHeight="false" outlineLevel="0" collapsed="false">
      <c r="A64" s="17" t="s">
        <v>134</v>
      </c>
      <c r="B64" s="21" t="s">
        <v>105</v>
      </c>
      <c r="C64" s="17" t="s">
        <v>221</v>
      </c>
    </row>
    <row r="65" customFormat="false" ht="15" hidden="false" customHeight="false" outlineLevel="0" collapsed="false">
      <c r="A65" s="17" t="s">
        <v>134</v>
      </c>
      <c r="B65" s="21" t="s">
        <v>97</v>
      </c>
      <c r="C65" s="17" t="s">
        <v>222</v>
      </c>
    </row>
    <row r="66" customFormat="false" ht="15" hidden="false" customHeight="false" outlineLevel="0" collapsed="false">
      <c r="A66" s="17" t="s">
        <v>134</v>
      </c>
      <c r="B66" s="21" t="s">
        <v>87</v>
      </c>
      <c r="C66" s="17"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6" style="0" width="60"/>
    <col collapsed="false" customWidth="true" hidden="false" outlineLevel="0" max="8" min="8" style="0" width="90"/>
  </cols>
  <sheetData>
    <row r="1" customFormat="false" ht="15" hidden="false" customHeight="false" outlineLevel="0" collapsed="false">
      <c r="A1" s="22" t="s">
        <v>38</v>
      </c>
      <c r="B1" s="22" t="s">
        <v>40</v>
      </c>
      <c r="C1" s="22" t="s">
        <v>41</v>
      </c>
      <c r="D1" s="22" t="s">
        <v>224</v>
      </c>
      <c r="E1" s="22" t="s">
        <v>225</v>
      </c>
      <c r="F1" s="22" t="s">
        <v>42</v>
      </c>
      <c r="H1" s="20" t="s">
        <v>226</v>
      </c>
    </row>
    <row r="2" customFormat="false" ht="15" hidden="false" customHeight="false" outlineLevel="0" collapsed="false">
      <c r="H2" s="2" t="s">
        <v>227</v>
      </c>
    </row>
    <row r="3" customFormat="false" ht="15" hidden="false" customHeight="false" outlineLevel="0" collapsed="false">
      <c r="H3" s="2"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2026-10-20T02:06:19Z</dcterms:created>
  <dc:creator>openpyxl</dc:creator>
  <dc:description/>
  <dc:language>en-US</dc:language>
  <cp:lastModifiedBy/>
  <dcterms:modified xsi:type="dcterms:W3CDTF">2026-10-20T02:06:19Z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