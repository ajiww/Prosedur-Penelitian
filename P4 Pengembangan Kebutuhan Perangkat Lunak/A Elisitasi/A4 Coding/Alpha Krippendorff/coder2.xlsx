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25EF1E24-DC1E-4DA2-A4FC-A2F3C758E1FA}" xr6:coauthVersionLast="46" xr6:coauthVersionMax="46" xr10:uidLastSave="{00000000-0000-0000-0000-000000000000}"/>
  <bookViews>
    <workbookView xWindow="-110" yWindow="-110" windowWidth="19420" windowHeight="10420" tabRatio="500" activeTab="1" xr2:uid="{00000000-000D-0000-FFFF-FFFF00000000}"/>
  </bookViews>
  <sheets>
    <sheet name="Petunjuk" sheetId="1" r:id="rId1"/>
    <sheet name="Lembar Coding" sheetId="2" r:id="rId2"/>
    <sheet name="Daftar Kode" sheetId="3" r:id="rId3"/>
  </sheets>
  <definedNames>
    <definedName name="_xlnm._FilterDatabase" localSheetId="1" hidden="1">'Lembar Coding'!$A$1:$R$86</definedName>
    <definedName name="_xlnm.Print_Titles" localSheetId="1">'Lembar Coding'!$1:$1</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86" i="2" l="1"/>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B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R2" i="2"/>
  <c r="C38" i="1" l="1"/>
  <c r="C36" i="1"/>
  <c r="C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4" authorId="0" shapeId="0" xr:uid="{00000000-0006-0000-0000-000001000000}">
      <text>
        <r>
          <rPr>
            <sz val="10"/>
            <rFont val="Arial"/>
            <family val="2"/>
          </rPr>
          <t>Isi dengan inisial atau nomor coder, misalnya C1. Nilai ini otomatis masuk ke kolom V2 pada Lembar Coding.</t>
        </r>
      </text>
    </comment>
  </commentList>
</comments>
</file>

<file path=xl/sharedStrings.xml><?xml version="1.0" encoding="utf-8"?>
<sst xmlns="http://schemas.openxmlformats.org/spreadsheetml/2006/main" count="684" uniqueCount="378">
  <si>
    <t>Lembar Coding Pilot: Codebook Analisis Isi Krippendorff (Versi 1.0)</t>
  </si>
  <si>
    <t>Sumber data: For_Codebook_1.xlsx (85 unit dengan kolom Isi terisi, baris Excel 2 sampai 86).</t>
  </si>
  <si>
    <t>Kode coder Anda (isi sekali):</t>
  </si>
  <si>
    <t>Sel yang boleh diisi</t>
  </si>
  <si>
    <t>Kuning (kolom V4 sampai V12)</t>
  </si>
  <si>
    <t>Diisi coder. V4 sampai V9 wajib (pilih dari daftar), V10 sampai V12 opsional.</t>
  </si>
  <si>
    <t>Abu-abu (V1, V2, V3, Pilot, Rujukan, Isi)</t>
  </si>
  <si>
    <t>Rujukan. Jangan diubah. V2 terisi otomatis dari sel C4 di atas. Kolom Rujukan memuat Pasal (peraturan) atau Paragraf dan Kalimat (artikel).</t>
  </si>
  <si>
    <t>Kolom BAB dan Bagian (tersembunyi)</t>
  </si>
  <si>
    <t>Disembunyikan agar judul BAB atau Bagian tidak memengaruhi pemilihan tema. Buka dengan tombol + di atas kolom hanya bila perlu memahami rujukan antarunit. Jangan menentukan V5 dari judulnya.</t>
  </si>
  <si>
    <t>Kolom Cek</t>
  </si>
  <si>
    <t>Otomatis. "OK" berarti kombinasi kode memenuhi aturan konsistensi Bagian 9. Pesan "Periksa..." berarti jelaskan di V12 atau ulangi coding.</t>
  </si>
  <si>
    <t>Kolom Pilot</t>
  </si>
  <si>
    <t>Penanda "Ya" menunjukkan unit yang masuk pilot. Untuk pilot, kodekan hanya unit bertanda Ya (12 unit).</t>
  </si>
  <si>
    <t>Aturan singkat</t>
  </si>
  <si>
    <t>1.</t>
  </si>
  <si>
    <t>Kodekan isi yang tertulis di kolom Isi. Jangan menambah pengetahuan hukum dari luar baris tersebut.</t>
  </si>
  <si>
    <t>2.</t>
  </si>
  <si>
    <t>Urutan: V4 (Uji Implikasi), V5 (pohon keputusan Bagian 6.2), V6, V7, V8, V9, lalu periksa kolom Cek.</t>
  </si>
  <si>
    <t>3.</t>
  </si>
  <si>
    <t>Jangan mengoreksi salah ketik atau teks terpotong. Catat kendalanya di V12.</t>
  </si>
  <si>
    <t>4.</t>
  </si>
  <si>
    <t>Tentukan V5 dan V7 dari kolom Isi, bukan dari judul BAB atau Bagian.</t>
  </si>
  <si>
    <t>5.</t>
  </si>
  <si>
    <t>Bila tidak ada tema yang cocok: T99 pada V5 dan jelaskan di V12. Bila tidak ada jenis V6 yang cocok: pilih jenis terdekat dan catat alasannya di V12.</t>
  </si>
  <si>
    <t>6.</t>
  </si>
  <si>
    <t>Jangan berdiskusi dengan coder lain sebelum seluruh unit selesai dikodekan.</t>
  </si>
  <si>
    <t>Contoh format pengisian (bukan data; hanya ilustrasi)</t>
  </si>
  <si>
    <t>Kolom</t>
  </si>
  <si>
    <t>Nilai contoh</t>
  </si>
  <si>
    <t>V4 Relevansi</t>
  </si>
  <si>
    <t>R2</t>
  </si>
  <si>
    <t>V5 Tema_Utama</t>
  </si>
  <si>
    <t>T11</t>
  </si>
  <si>
    <t>V6 Jenis_Pernyataan</t>
  </si>
  <si>
    <t>P2</t>
  </si>
  <si>
    <t>V7 Subjek_Norma</t>
  </si>
  <si>
    <t>S1</t>
  </si>
  <si>
    <t>V8 Tahap_Scraping</t>
  </si>
  <si>
    <t>F6</t>
  </si>
  <si>
    <t>V9 Kebutuhan_SRS</t>
  </si>
  <si>
    <t>K1</t>
  </si>
  <si>
    <t>V10 Tema_Sekunder</t>
  </si>
  <si>
    <t>(kosong)</t>
  </si>
  <si>
    <t>V11 Draf_Kebutuhan</t>
  </si>
  <si>
    <t>Sistem harus menghentikan pemrosesan data pribadi paling lambat 3 x 24 jam setelah penarikan persetujuan.</t>
  </si>
  <si>
    <t>V12 Catatan</t>
  </si>
  <si>
    <t>Contoh di atas mengikuti contoh baris 67 pada codebook (Bagian 12 dan 11). Baris 67 bukan unit pilot.</t>
  </si>
  <si>
    <t>Kemajuan</t>
  </si>
  <si>
    <t>Unit terkode lengkap</t>
  </si>
  <si>
    <t>Unit pilot terkode lengkap</t>
  </si>
  <si>
    <t>Unit yang perlu diperbaiki</t>
  </si>
  <si>
    <t>Unit yang perlu diperbaiki = pesan Cek yang diawali R (aturan R0, R1, R2) atau P9. Pesan "Lengkapi V4-V9" belum dihitung sebagai kesalahan.</t>
  </si>
  <si>
    <t>V1 ID_Unit</t>
  </si>
  <si>
    <t>V2 Kode_Coder</t>
  </si>
  <si>
    <t>V3 Dokumen</t>
  </si>
  <si>
    <t>Pilot</t>
  </si>
  <si>
    <t>Rujukan (Pasal / Paragraf, Kalimat)</t>
  </si>
  <si>
    <t>BAB</t>
  </si>
  <si>
    <t>Bagian</t>
  </si>
  <si>
    <t>Isi</t>
  </si>
  <si>
    <t>V10 Tema_Sekunder (opsional)</t>
  </si>
  <si>
    <t>V11 Draf_Kebutuhan (opsional)</t>
  </si>
  <si>
    <t>Cek</t>
  </si>
  <si>
    <t>2019MHN201</t>
  </si>
  <si>
    <t>Paragraf 3, Kalimat 1</t>
  </si>
  <si>
    <t>C. Pembahasan</t>
  </si>
  <si>
    <t>5. Pentingnya Perlindungan Data Pribadi</t>
  </si>
  <si>
    <t>Melihat banyaknya kasus penyalahgunaan data pribadi, sangat penting untuk memberikan perlindungan data pribadi.</t>
  </si>
  <si>
    <t>Paragraf 3, Kalimat 2</t>
  </si>
  <si>
    <t>Pentingnya memberikan perlindungan data pribadi mulai menguat seiring dengan meningkatnya jumlah pengguna telepon seluler dan internet.</t>
  </si>
  <si>
    <t>Paragraf 3, Kalimat 3</t>
  </si>
  <si>
    <t>Sejumlah kasus yang mencuat, terutama yang memiliki keterkaitan dengan kebocoran data pribadi seseorang dan bermuara kepada aksi penipuan atau tindak kriminal pornografi, menguatkan wacana pentingnya pembuatan aturan hukum untuk melindungi data pribadi.</t>
  </si>
  <si>
    <t>Paragraf 3, Kalimat 4</t>
  </si>
  <si>
    <t>Perlindungan data pribadi berhubungan dengan konsep privasi.</t>
  </si>
  <si>
    <t>Paragraf 3, Kalimat 5</t>
  </si>
  <si>
    <t>Konsep privasi sendiri adalah gagasan untuk menjaga integritas dan martabat pribadi.</t>
  </si>
  <si>
    <t>Paragraf 3, Kalimat 6</t>
  </si>
  <si>
    <t>Hak privasi juga merupakan kemampuan individu untuk menentukan siapa yang memegang informasi tentang mereka dan bagaimana informasi tersebut digunakan.</t>
  </si>
  <si>
    <t>Paragraf 4, Kalimat 1</t>
  </si>
  <si>
    <t>Konsep perlindungan data mengisyaratkan bahwa individu memiliki hak untuk menentukan apakah mereka akan membagi atau bertukar data pribadi mereka atau tidak.</t>
  </si>
  <si>
    <t>Paragraf 4, Kalimat 2</t>
  </si>
  <si>
    <t>Selain itu, individu juga memiliki hak untuk menentukan syarat-syarat pelaksanaan pemindahan data pribadi tersebut.</t>
  </si>
  <si>
    <t>Paragraf 4, Kalimat 3</t>
  </si>
  <si>
    <t>Lebih jauh, perlindungan privasi.</t>
  </si>
  <si>
    <t>Paragraf 4, Kalimat 4</t>
  </si>
  <si>
    <t>Hak privasi telah berkembang sehingga dapat digunakan untuk merumuskan hak untuk melindungi data pribadi.</t>
  </si>
  <si>
    <t>Paragraf 5, Kalimat 1</t>
  </si>
  <si>
    <t>Perlindungan data pribadi telah diatur di dalam UUD NKRI Tahun 1945.</t>
  </si>
  <si>
    <t>Ya</t>
  </si>
  <si>
    <t>Paragraf 5, Kalimat 2</t>
  </si>
  <si>
    <t>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</si>
  <si>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Paragraf 6, Kalimat 1</t>
  </si>
  <si>
    <t>Selain itu beberapa peraturan nasional secara umum telah mengatur untuk memberikan perlindungan data pribadi antara lain:</t>
  </si>
  <si>
    <t>Paragraf 6, Kalimat 2</t>
  </si>
  <si>
    <t>1) Undang-Undang Nomor 19 Tahun 2016 Tentang Perubahan Atas Undang-Undang Nomor 11 Tahun 2008 Tentang Informasi dan Transaksi Elektronik</t>
  </si>
  <si>
    <t>Paragraf 6, Kalimat 3</t>
  </si>
  <si>
    <t>2) Undang-Undang Nomor 11 Tahun 2008 Tentang Informasi dan Transaksi Elektronik</t>
  </si>
  <si>
    <t>Paragraf 6, Kalimat 13</t>
  </si>
  <si>
    <t>12) Peraturan Menteri Komunikasi dan Informasi Nomor 20 Tahun 2016 Tentang Perlindungan Data Pribadi Dalam Sistem Elektronik</t>
  </si>
  <si>
    <t>Paragraf 6, Kalimat 14</t>
  </si>
  <si>
    <t>13) Peraturan Pemerintah Nomor 82 Tahun 2012 Tentang Penyelenggaraan Sistem dan Transaksi Elektronik</t>
  </si>
  <si>
    <t>Paragraf 6, Kalimat 16</t>
  </si>
  <si>
    <t>15) Peraturan Menteri Komunikasi dan Informasi Nomor 4 Tahun 2016 Tentang Sistem Manajemen Pengaman Informasi</t>
  </si>
  <si>
    <t>Paragraf 7, Kalimat 2</t>
  </si>
  <si>
    <t>Dalam Pasal 26 huruf a disebutkan bahwa menjaga kerahasiaan, keutuhan, dan ketersediaan data pribadi, data transaksi, dan data keuangan yang dikelolanya sejak data diperoleh hingga data tersebut dimusnahkan.</t>
  </si>
  <si>
    <t>Paragraf 7, Kalimat 3</t>
  </si>
  <si>
    <t>Selain itu Peraturan OJK Nomor 13 Tahun 2018 Tentang Inovasi Keuangan Digital di Sektor Keuangan, telah memasukkan poin terkait perlindungan dan kerahasiaan data.</t>
  </si>
  <si>
    <t>Paragraf 7, Kalimat 4</t>
  </si>
  <si>
    <t>Pasal 30 ayat (1) menyebutkan bahwa Penyelenggara wajib menjaga kerahasiaan data pribadi, data transaksi, dan data keuangan yang dikelolanya sejak diperoleh hingga data tersebut dimusnahkan.</t>
  </si>
  <si>
    <t>Paragraf 8, Kalimat 1</t>
  </si>
  <si>
    <t>Banyaknya peraturan yang mengatur tentang perlindungan data pribadi menunjukkan pentingnya data pribadi untuk dilindungi.</t>
  </si>
  <si>
    <t>Paragraf 8, Kalimat 3</t>
  </si>
  <si>
    <t>Oleh karena itu perlu disusun suatu undang-undang yang secara khusus dapat memberikan perlindungan data pribadi.</t>
  </si>
  <si>
    <t>Paragraf 1, Kalimat 3</t>
  </si>
  <si>
    <t>D. Penutup</t>
  </si>
  <si>
    <t>Selain itu juga sudah ada Peraturan Menteri Nomor 20 Tahun 2016 tentang Perlindungan Data Pribadi namun belum cukup memberikan perlindungan kepada konsumen.</t>
  </si>
  <si>
    <t>Paragraf 1, Kalimat 4</t>
  </si>
  <si>
    <t>Oleh karenanya Pemerintah perlu segera memberikan perlindungan data pribadi nasabah agar tidak disalahgunakan.</t>
  </si>
  <si>
    <t>UU 23 Thn 2002 (Perlindungan Anak)</t>
  </si>
  <si>
    <t>Pasal 27</t>
  </si>
  <si>
    <t>BAB V
KEDUDUKAN ANAK</t>
  </si>
  <si>
    <t>Bagian Kesatu
Identitas Anak</t>
  </si>
  <si>
    <t>(1)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</si>
  <si>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UU 27 Thn 2022 (PDP)</t>
  </si>
  <si>
    <t>Pasal 1</t>
  </si>
  <si>
    <t>BAB I
KETENTUAN UMUM</t>
  </si>
  <si>
    <t>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</si>
  <si>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Pasal 2</t>
  </si>
  <si>
    <t>(1)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</si>
  <si>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Pasal 3</t>
  </si>
  <si>
    <t>BAB II
ASAS</t>
  </si>
  <si>
    <t>a. perlindungan; b. kepastian hukum; c. kepentingan umum; d. Kemanfaatan; e. Kehati-hatian; f. Keseimbangan; g. Pertanggungjawaban; dan h. kerahasiaan.</t>
  </si>
  <si>
    <t>Pasal 4</t>
  </si>
  <si>
    <t>BAB III
JENIS DATA PRIBADI</t>
  </si>
  <si>
    <t>(1)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</si>
  <si>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Pasal 5</t>
  </si>
  <si>
    <t>BAB IV
HAK SUBJEK DATA PRIBADI</t>
  </si>
  <si>
    <t>Subjek Data Pribadi berhak mendapatkan Informasi tentang kejelasan identitas, dasar kepentingan hukum, tujuan permintaan dan penggunaan Data Pribadi, dan akuntabilitas pihak yang meminta Data Pribadi.</t>
  </si>
  <si>
    <t>Pasal 6</t>
  </si>
  <si>
    <t>Subjek Data Pribadi berhak melengkapi, memperbarui, dan/atau memperbaiki kesalahan dan/atau ketidakakuratan Data Pribadi tentang dirinya sesuai dengan tujuan pemrosesan Data Pribadi.</t>
  </si>
  <si>
    <t>Pasal 7</t>
  </si>
  <si>
    <t>Subjek Data Pribadi berhak mendapatkan akses dan memperoleh salinan Data Pribadi tentang dirinya sesuai dengan ketentuan peraturan perundang-undangan.</t>
  </si>
  <si>
    <t>Pasal 8</t>
  </si>
  <si>
    <t>Subjek Data Pribadi berhak untuk mengakhiri pemrosesan, menghapus, dan/ atau memusnahkan Data Pribadi tentang dirinya sesuai dengan ketentuan peraturan perundang-undangan.</t>
  </si>
  <si>
    <t>Pasal 9</t>
  </si>
  <si>
    <t>Subjek Data Pribadi berhak menarik kembali persetujuan pemrosesan Data Pribadi tentang dirinya yang telah diberikan kepada Pengendali Data Pribadi.</t>
  </si>
  <si>
    <t>Pasal 10</t>
  </si>
  <si>
    <t>(1)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</si>
  <si>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Pasal 11</t>
  </si>
  <si>
    <t>Subjek Data Pribadi berhak menunda atau membatasi pemrosesan Data Pribadi secara proporsional sesuai dengan tujuan pemrosesan Data Pribadi.</t>
  </si>
  <si>
    <t>Pasal 12</t>
  </si>
  <si>
    <t>(1)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</si>
  <si>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Pasal 13</t>
  </si>
  <si>
    <t>(1)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</si>
  <si>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Pasal 14</t>
  </si>
  <si>
    <t>Pelaksanaan hak Subjek Data Pribadi sebagaimana dimaksud dalam Pasal 6 sampai dengan Pasal 11 diajukan melalui permohonan tercatat yang disampaikan secara elektronik atau nonelektronik kepada Pengendali Data Pribadi.</t>
  </si>
  <si>
    <t>Pasal 15</t>
  </si>
  <si>
    <t>(1)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</si>
  <si>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Pasal 16</t>
  </si>
  <si>
    <t>BAB V
PEMROSESAN DATA PRIBADI</t>
  </si>
  <si>
    <t>(1)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</si>
  <si>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Pasal 17</t>
  </si>
  <si>
    <t>(1)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</si>
  <si>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Pasal 18</t>
  </si>
  <si>
    <t>(1)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</si>
  <si>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Pasal 19</t>
  </si>
  <si>
    <t>BAB VI
KEWAJIBAN PENGENDALI DATA PRIBADI DAN PROSESOR DATA PRIBADI DALAM PEMROSESAN DATA PRIBADI</t>
  </si>
  <si>
    <t>Bagian Kesatu
Umum</t>
  </si>
  <si>
    <t>Pengendali Data Pribadi dan Prosesor Data Pribadi meliputi: a. Setiap Orang; b. Badan Publik; dan c. Organisasi Internasional.</t>
  </si>
  <si>
    <t>Pasal 20</t>
  </si>
  <si>
    <t>Bagian Kedua Kewajiban Pengendali Data Pribadi</t>
  </si>
  <si>
    <t>(1)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</si>
  <si>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Pasal 21</t>
  </si>
  <si>
    <t>(1)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</si>
  <si>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Pasal 22</t>
  </si>
  <si>
    <t>(1)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</si>
  <si>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Pasal 23</t>
  </si>
  <si>
    <t>Klausul perjanjian yang di dalamnya terdapat permintaan pemrosesan Data Pribadi yang tidak memuat persetujuan yang sah secara eksplisit dari Subjek Data Pribadi dinyatakan batal demi hukum.</t>
  </si>
  <si>
    <t>Pasal 24</t>
  </si>
  <si>
    <t>Dalam melakukan pemrosesan Data Pribadi, Pengendali Data Pribadi wajib menunjukkan bukti persetujuan yang telah diberikan oleh Subjek Data Pribadi.</t>
  </si>
  <si>
    <t>Pasal 25</t>
  </si>
  <si>
    <t>(1) Pemrosesan Data Pribadi anak secara khusus.(2) Pemrosesan Data Pribadi anak sebagaimana dimaksud pada ayat (1) wajib mendapat persetujuan dari orang tua anak dan/ atau wali anak sesuai dengan ketentuan peraturan perundang-undangan.</t>
  </si>
  <si>
    <t>Pasal 26</t>
  </si>
  <si>
    <t>(1)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</si>
  <si>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Pengendali Data Pribadi wajib melakukan pemrosesan Data Pribadi secara terbatas dan spesifik, sah secara hukum, dan transparan.</t>
  </si>
  <si>
    <t>Pasal 28</t>
  </si>
  <si>
    <t>Pengendali Data Pribadi wajib melakukan pemrosesan Data Pribadi sesuai dengan tujuan pemrosesan Data Pribadi.</t>
  </si>
  <si>
    <t>Pasal 29</t>
  </si>
  <si>
    <t>(1)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</si>
  <si>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Pasal 30</t>
  </si>
  <si>
    <t>(1)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</si>
  <si>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Pasal 31</t>
  </si>
  <si>
    <t>Pengendali Data Pribadi wajib melakukan perekaman terhadap seluruh kegiatan pemrosesan Data Pribadi.</t>
  </si>
  <si>
    <t>Pasal 32</t>
  </si>
  <si>
    <t>(1)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</si>
  <si>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Pasal 33</t>
  </si>
  <si>
    <t>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</si>
  <si>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Pasal 34</t>
  </si>
  <si>
    <t>Bagian Kedua
Kewajiban Pengendali Data Pribadi</t>
  </si>
  <si>
    <t>(1)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</si>
  <si>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Pasal 35</t>
  </si>
  <si>
    <t>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</si>
  <si>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Pasal 36</t>
  </si>
  <si>
    <t>Dalam melakukan pemrosesan Data Pribadi, Pengendali Data Pribadi wajib menjaga kerahasiaan Data Pribadi.</t>
  </si>
  <si>
    <t>Pasal 37</t>
  </si>
  <si>
    <t>Pengendali Data Pribadi wajib melakukan pengawasan terhadap setiap pihak yang terlibat dalam pemrosesan Data Pribadi di bawah kendali Pengendali Data Pribadi.</t>
  </si>
  <si>
    <t>Pasal 38</t>
  </si>
  <si>
    <t>Pengendali Data Pribadi wajib melindungi Data Pribadi dari pemrosesan yang tidak sah.</t>
  </si>
  <si>
    <t>Pasal 39</t>
  </si>
  <si>
    <t>(1)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</si>
  <si>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Pasal 40</t>
  </si>
  <si>
    <t>(1)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</si>
  <si>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Pasal 41</t>
  </si>
  <si>
    <t>(1)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</si>
  <si>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Pasal 42</t>
  </si>
  <si>
    <t>(1)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</si>
  <si>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Pasal 43</t>
  </si>
  <si>
    <t>(1)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</si>
  <si>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Pasal 44</t>
  </si>
  <si>
    <t>(1)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</si>
  <si>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Pasal 45</t>
  </si>
  <si>
    <t>Pengendali Data Pribadi wajib memberitahukan penghapusan dan/atau pemusnahan Data Pribadi kepada Subjek Data Pribadi.</t>
  </si>
  <si>
    <t>Pasal 46</t>
  </si>
  <si>
    <t>(1)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</si>
  <si>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Pasal 47</t>
  </si>
  <si>
    <t>Pengendali Data Pribadi wajib bertanggung jawab atas pemrosesan Data Pribadi dan menunjukkan pertanggungjawaban dalam pemenuhan kewajiban pelaksanaan prinsip Pelindungan Data Pribadi.</t>
  </si>
  <si>
    <t>Pasal 48</t>
  </si>
  <si>
    <t>(1)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</si>
  <si>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Pasal 49</t>
  </si>
  <si>
    <t>Pengendali Data Pribadi dan/ atau Prosesor Data Pribadi wajib melaksanakan perintah lembaga dalam rangka penyelenggaraan Pelindungan Data Pribadi sesuai dengan Undang-Undang ini.</t>
  </si>
  <si>
    <t>Pasal 50</t>
  </si>
  <si>
    <t>(1)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</si>
  <si>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Pasal 51</t>
  </si>
  <si>
    <t>Bagian Ketiga
Kewajiban Prosesor Data Pribadi</t>
  </si>
  <si>
    <t>(1)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</si>
  <si>
    <t>Pasal 52</t>
  </si>
  <si>
    <t>Ketentuan mengenai kewajiban Pengendali Data Pribadi sebagaimana dimaksud dalam Pasal 29, Pasal 31, Pasal 35, Pasal 36, Pasal 37, Pasal 38, dan Pasal 39 berlaku juga terhadap Prosesor Data Pribadi.</t>
  </si>
  <si>
    <t>Pasal 53</t>
  </si>
  <si>
    <t>Bagian Keempat
Pejabat atau Petugas yang Melaksanakan Fungsi Pelindungan Data Pribadi</t>
  </si>
  <si>
    <t>(1)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</si>
  <si>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Pasal 55</t>
  </si>
  <si>
    <t>BAB VII TRANSFER DATA PRIBADI</t>
  </si>
  <si>
    <t>Bagian Kesatu
Transfer Data Pribadi Dalam Wilayah Hukum Negara Republik Indonesia</t>
  </si>
  <si>
    <t>(1)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</si>
  <si>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Pasal 56</t>
  </si>
  <si>
    <t>Bagian Kedua</t>
  </si>
  <si>
    <t>(1)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</si>
  <si>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Pasal 65</t>
  </si>
  <si>
    <t>BAB XIII
LARANGAN DALAM PENGGUNAAN DATA PRIBADI</t>
  </si>
  <si>
    <t>(1)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</si>
  <si>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Pasal 66</t>
  </si>
  <si>
    <t>Setiap Orang dilarang membuat Data Pribadi palsu atau memalsukan Data Pribadi dengan maksud untuk menguntungkan diri sendiri atau orang lain yang dapat mengakibatkan kerugian bagi orang lain.</t>
  </si>
  <si>
    <t>Perpres 39 Thn 2019 (Satu Data)</t>
  </si>
  <si>
    <t>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</si>
  <si>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BAB IV
PENYELENGGARAAN SATU DATA INDONESIA</t>
  </si>
  <si>
    <t>Bagian Kelima
Penyebarluasan Data</t>
  </si>
  <si>
    <t>(1)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</si>
  <si>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Daftar kode (ringkasan dari codebook Versi 1.0; definisi lengkap ada di codebook)</t>
  </si>
  <si>
    <t>R0</t>
  </si>
  <si>
    <t>Tidak relevan</t>
  </si>
  <si>
    <t>Tidak memengaruhi desain atau perilaku sistem</t>
  </si>
  <si>
    <t>R1</t>
  </si>
  <si>
    <t>Relevan tidak langsung</t>
  </si>
  <si>
    <t>Definisi, asas, konsep, latar, atau norma khusus pihak tertentu</t>
  </si>
  <si>
    <t>Relevan langsung</t>
  </si>
  <si>
    <t>Kewajiban, larangan, hak, syarat, atau batasan yang dapat diturunkan menjadi kebutuhan sistem</t>
  </si>
  <si>
    <t>V5 Tema Utama (jalankan pohon keputusan Bagian 6.2)</t>
  </si>
  <si>
    <t>T01</t>
  </si>
  <si>
    <t>Definisi, Istilah, dan Ruang Lingkup</t>
  </si>
  <si>
    <t>T02</t>
  </si>
  <si>
    <t>Asas dan Prinsip Pemrosesan</t>
  </si>
  <si>
    <t>T03</t>
  </si>
  <si>
    <t>Jenis dan Klasifikasi Data Pribadi</t>
  </si>
  <si>
    <t>T04</t>
  </si>
  <si>
    <t>Hak Subjek Data Pribadi</t>
  </si>
  <si>
    <t>T05</t>
  </si>
  <si>
    <t>Dasar Pemrosesan dan Persetujuan</t>
  </si>
  <si>
    <t>T06</t>
  </si>
  <si>
    <t>Aktivitas Pemrosesan dan Pengumpulan</t>
  </si>
  <si>
    <t>T07</t>
  </si>
  <si>
    <t>Data Pribadi Anak dan Kelompok Rentan</t>
  </si>
  <si>
    <t>T08</t>
  </si>
  <si>
    <t>Kualitas, Akurasi, dan Pembaruan Data</t>
  </si>
  <si>
    <t>T09</t>
  </si>
  <si>
    <t>Akuntabilitas, Pencatatan, dan Tata Kelola Kepatuhan</t>
  </si>
  <si>
    <t>T10</t>
  </si>
  <si>
    <t>Keamanan, Kerahasiaan, dan Penanganan Insiden</t>
  </si>
  <si>
    <t>Retensi, Penghentian, Penghapusan, dan Pemusnahan</t>
  </si>
  <si>
    <t>T12</t>
  </si>
  <si>
    <t>Pengecualian dan Pembatasan</t>
  </si>
  <si>
    <t>T13</t>
  </si>
  <si>
    <t>Transfer dan Pengalihan Data</t>
  </si>
  <si>
    <t>T14</t>
  </si>
  <si>
    <t>Larangan dan Perbuatan Melawan Hukum</t>
  </si>
  <si>
    <t>T15</t>
  </si>
  <si>
    <t>Akses dan Pemanfaatan Data Pemerintah</t>
  </si>
  <si>
    <t>T16</t>
  </si>
  <si>
    <t>Urgensi, Konsep, dan Landasan Pelindungan Data</t>
  </si>
  <si>
    <t>T17</t>
  </si>
  <si>
    <t>Rujukan Regulasi Lain</t>
  </si>
  <si>
    <t>T99</t>
  </si>
  <si>
    <t>Lainnya</t>
  </si>
  <si>
    <t>Residual: hanya bila pohon keputusan tidak menghasilkan tema; wajib isi V12</t>
  </si>
  <si>
    <t>V6 Jenis Pernyataan (prioritas bila seri: P1 &gt; P2 &gt; P3 &gt; P5 &gt; P4 &gt; P6 &gt; P7 &gt; P8 &gt; P9)</t>
  </si>
  <si>
    <t>P1</t>
  </si>
  <si>
    <t>Larangan</t>
  </si>
  <si>
    <t>dilarang, tidak boleh</t>
  </si>
  <si>
    <t>Kewajiban</t>
  </si>
  <si>
    <t>wajib, harus, berkewajiban</t>
  </si>
  <si>
    <t>P3</t>
  </si>
  <si>
    <t>Hak</t>
  </si>
  <si>
    <t>berhak, hak</t>
  </si>
  <si>
    <t>P4</t>
  </si>
  <si>
    <t>Kebolehan atau kewenangan</t>
  </si>
  <si>
    <t>dapat, boleh, berwenang</t>
  </si>
  <si>
    <t>P5</t>
  </si>
  <si>
    <t>Pengecualian atau pembatasan</t>
  </si>
  <si>
    <t>dikecualikan, tidak berlaku, wajib menolak</t>
  </si>
  <si>
    <t>P6</t>
  </si>
  <si>
    <t>Definisi, klasifikasi, atau ruang lingkup</t>
  </si>
  <si>
    <t>yang dimaksud dengan, meliputi, berlaku untuk</t>
  </si>
  <si>
    <t>P7</t>
  </si>
  <si>
    <t>Asas, prinsip, atau tujuan umum</t>
  </si>
  <si>
    <t>P8</t>
  </si>
  <si>
    <t>Deskriptif, argumentatif, atau rekomendasi</t>
  </si>
  <si>
    <t>khas artikel</t>
  </si>
  <si>
    <t>P9</t>
  </si>
  <si>
    <t>Rujukan atau daftar</t>
  </si>
  <si>
    <t>hanya berpasangan dengan T17</t>
  </si>
  <si>
    <t>V7 Subjek Norma</t>
  </si>
  <si>
    <t>Pengendali Data Pribadi</t>
  </si>
  <si>
    <t>S2</t>
  </si>
  <si>
    <t>Prosesor Data Pribadi</t>
  </si>
  <si>
    <t>S3</t>
  </si>
  <si>
    <t>Pengendali dan Prosesor</t>
  </si>
  <si>
    <t>keduanya disebut</t>
  </si>
  <si>
    <t>S4</t>
  </si>
  <si>
    <t>Subjek Data Pribadi</t>
  </si>
  <si>
    <t>S5</t>
  </si>
  <si>
    <t>Setiap Orang atau pihak umum</t>
  </si>
  <si>
    <t>S6</t>
  </si>
  <si>
    <t>Instansi atau Badan Publik</t>
  </si>
  <si>
    <t>S7</t>
  </si>
  <si>
    <t>Lembaga atau Pemerintah (otoritas)</t>
  </si>
  <si>
    <t>S8</t>
  </si>
  <si>
    <t>Penyelenggara sektor atau pihak lain</t>
  </si>
  <si>
    <t>S9</t>
  </si>
  <si>
    <t>Tidak ada subjek eksplisit</t>
  </si>
  <si>
    <t>jangan menebak subjek</t>
  </si>
  <si>
    <t>V8 Tahap Siklus Scraping (bila beberapa tahap F1 sampai F6, pilih yang paling awal)</t>
  </si>
  <si>
    <t>F1</t>
  </si>
  <si>
    <t>Perencanaan dan dasar pemrosesan</t>
  </si>
  <si>
    <t>F2</t>
  </si>
  <si>
    <t>Pengumpulan atau akuisisi</t>
  </si>
  <si>
    <t>F3</t>
  </si>
  <si>
    <t>Pengolahan dan analisis</t>
  </si>
  <si>
    <t>F4</t>
  </si>
  <si>
    <t>Penyimpanan dan pengamanan</t>
  </si>
  <si>
    <t>F5</t>
  </si>
  <si>
    <t>Penyebarluasan dan transfer</t>
  </si>
  <si>
    <t>Retensi dan penghapusan</t>
  </si>
  <si>
    <t>F7</t>
  </si>
  <si>
    <t>Tata kelola dan hak subjek</t>
  </si>
  <si>
    <t>F8</t>
  </si>
  <si>
    <t>Lintas tahap atau tidak spesifik</t>
  </si>
  <si>
    <t>V9 Kandidat Kebutuhan SRS (urutan periksa: K1, K2, K3, K4)</t>
  </si>
  <si>
    <t>Fungsional</t>
  </si>
  <si>
    <t>Tindakan spesifik yang dapat diuji</t>
  </si>
  <si>
    <t>K2</t>
  </si>
  <si>
    <t>Non-fungsional: keamanan dan kerahasiaan</t>
  </si>
  <si>
    <t>K3</t>
  </si>
  <si>
    <t>Non-fungsional: kepatuhan dan akuntabilitas</t>
  </si>
  <si>
    <t>K4</t>
  </si>
  <si>
    <t>Batasan atau aturan bisnis hukum</t>
  </si>
  <si>
    <t>K5</t>
  </si>
  <si>
    <t>Tidak menghasilkan kebutuhan</t>
  </si>
  <si>
    <t>DENI GANTENG BANGET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</si>
</sst>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charset val="1"/>
    </font>
    <font>
      <sz val="10"/>
      <name val="Arial"/>
      <charset val="1"/>
    </font>
    <font>
      <b/>
      <sz val="10"/>
      <name val="Arial"/>
      <charset val="1"/>
    </font>
    <font>
      <sz val="10"/>
      <color rgb="FF0000FF"/>
      <name val="Arial"/>
      <charset val="1"/>
    </font>
    <font>
      <b/>
      <sz val="10"/>
      <color rgb="FFFFFFFF"/>
      <name val="Arial"/>
      <charset val="1"/>
    </font>
    <font>
      <i/>
      <sz val="9"/>
      <name val="Arial"/>
      <charset val="1"/>
    </font>
    <font>
      <sz val="10"/>
      <name val="Arial"/>
      <family val="2"/>
    </font>
    <font>
      <b/>
      <sz val="10"/>
      <name val="Arial"/>
      <family val="2"/>
    </font>
    <font>
      <sz val="11"/>
      <name val="Calibri"/>
      <family val="2"/>
      <charset val="1"/>
    </font>
  </fonts>
  <fills count="2">
    <fill>
      <patternFill patternType="none"/>
    </fill>
    <fill>
      <patternFill patternType="gray125"/>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3"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right" vertical="top"/>
    </xf>
    <xf numFmtId="0" fontId="5" fillId="0" borderId="1" xfId="0" applyFont="1" applyBorder="1"/>
    <xf numFmtId="0" fontId="2" fillId="0" borderId="1" xfId="0" applyFont="1" applyBorder="1" applyAlignment="1">
      <alignment vertical="top" wrapText="1"/>
    </xf>
    <xf numFmtId="0" fontId="6" fillId="0" borderId="0" xfId="0" applyFont="1"/>
    <xf numFmtId="0" fontId="2" fillId="0" borderId="0" xfId="0" applyFont="1" applyAlignment="1">
      <alignment horizontal="left"/>
    </xf>
    <xf numFmtId="0" fontId="2" fillId="0" borderId="1" xfId="0"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3" fillId="0" borderId="1" xfId="0" applyFont="1" applyBorder="1" applyAlignment="1">
      <alignment horizontal="center" vertical="top" wrapText="1"/>
    </xf>
    <xf numFmtId="0" fontId="8" fillId="0" borderId="1" xfId="0" applyFont="1" applyBorder="1" applyAlignment="1">
      <alignment horizontal="center" vertical="center" wrapText="1"/>
    </xf>
    <xf numFmtId="0" fontId="9" fillId="0" borderId="0" xfId="0" applyFont="1"/>
  </cellXfs>
  <cellStyles count="1">
    <cellStyle name="Normal" xfId="0" builtinId="0"/>
  </cellStyles>
  <dxfs count="3">
    <dxf>
      <fill>
        <patternFill>
          <bgColor rgb="FFF8CBAD"/>
        </patternFill>
      </fill>
    </dxf>
    <dxf>
      <fill>
        <patternFill>
          <bgColor rgb="FFFFE699"/>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D966"/>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9"/>
  <sheetViews>
    <sheetView zoomScaleNormal="100" workbookViewId="0">
      <selection activeCell="C5" sqref="C5"/>
    </sheetView>
  </sheetViews>
  <sheetFormatPr defaultColWidth="8.6328125" defaultRowHeight="14.5" x14ac:dyDescent="0.35"/>
  <cols>
    <col min="1" max="1" width="4" customWidth="1"/>
    <col min="2" max="2" width="34" customWidth="1"/>
    <col min="3" max="3" width="70" customWidth="1"/>
    <col min="4" max="4" width="16" customWidth="1"/>
  </cols>
  <sheetData>
    <row r="1" spans="2:3" ht="18" x14ac:dyDescent="0.4">
      <c r="B1" s="1" t="s">
        <v>0</v>
      </c>
    </row>
    <row r="2" spans="2:3" x14ac:dyDescent="0.35">
      <c r="B2" s="2" t="s">
        <v>1</v>
      </c>
    </row>
    <row r="4" spans="2:3" x14ac:dyDescent="0.35">
      <c r="B4" s="3" t="s">
        <v>2</v>
      </c>
      <c r="C4" s="4" t="s">
        <v>377</v>
      </c>
    </row>
    <row r="6" spans="2:3" x14ac:dyDescent="0.35">
      <c r="B6" s="3" t="s">
        <v>3</v>
      </c>
    </row>
    <row r="7" spans="2:3" x14ac:dyDescent="0.35">
      <c r="B7" s="5" t="s">
        <v>4</v>
      </c>
      <c r="C7" s="6" t="s">
        <v>5</v>
      </c>
    </row>
    <row r="8" spans="2:3" ht="26" x14ac:dyDescent="0.35">
      <c r="B8" s="5" t="s">
        <v>6</v>
      </c>
      <c r="C8" s="6" t="s">
        <v>7</v>
      </c>
    </row>
    <row r="9" spans="2:3" ht="37.5" x14ac:dyDescent="0.35">
      <c r="B9" s="5" t="s">
        <v>8</v>
      </c>
      <c r="C9" s="6" t="s">
        <v>9</v>
      </c>
    </row>
    <row r="10" spans="2:3" ht="25" x14ac:dyDescent="0.35">
      <c r="B10" s="5" t="s">
        <v>10</v>
      </c>
      <c r="C10" s="6" t="s">
        <v>11</v>
      </c>
    </row>
    <row r="11" spans="2:3" ht="25" x14ac:dyDescent="0.35">
      <c r="B11" s="5" t="s">
        <v>12</v>
      </c>
      <c r="C11" s="6" t="s">
        <v>13</v>
      </c>
    </row>
    <row r="13" spans="2:3" x14ac:dyDescent="0.35">
      <c r="B13" s="3" t="s">
        <v>14</v>
      </c>
    </row>
    <row r="14" spans="2:3" ht="25" x14ac:dyDescent="0.35">
      <c r="B14" s="7" t="s">
        <v>15</v>
      </c>
      <c r="C14" s="6" t="s">
        <v>16</v>
      </c>
    </row>
    <row r="15" spans="2:3" ht="25" x14ac:dyDescent="0.35">
      <c r="B15" s="7" t="s">
        <v>17</v>
      </c>
      <c r="C15" s="6" t="s">
        <v>18</v>
      </c>
    </row>
    <row r="16" spans="2:3" x14ac:dyDescent="0.35">
      <c r="B16" s="7" t="s">
        <v>19</v>
      </c>
      <c r="C16" s="6" t="s">
        <v>20</v>
      </c>
    </row>
    <row r="17" spans="2:3" x14ac:dyDescent="0.35">
      <c r="B17" s="7" t="s">
        <v>21</v>
      </c>
      <c r="C17" s="6" t="s">
        <v>22</v>
      </c>
    </row>
    <row r="18" spans="2:3" ht="25" x14ac:dyDescent="0.35">
      <c r="B18" s="7" t="s">
        <v>23</v>
      </c>
      <c r="C18" s="6" t="s">
        <v>24</v>
      </c>
    </row>
    <row r="19" spans="2:3" x14ac:dyDescent="0.35">
      <c r="B19" s="7" t="s">
        <v>25</v>
      </c>
      <c r="C19" s="6" t="s">
        <v>26</v>
      </c>
    </row>
    <row r="21" spans="2:3" x14ac:dyDescent="0.35">
      <c r="B21" s="3" t="s">
        <v>27</v>
      </c>
    </row>
    <row r="22" spans="2:3" x14ac:dyDescent="0.35">
      <c r="B22" s="8" t="s">
        <v>28</v>
      </c>
      <c r="C22" s="8" t="s">
        <v>29</v>
      </c>
    </row>
    <row r="23" spans="2:3" x14ac:dyDescent="0.35">
      <c r="B23" s="9" t="s">
        <v>30</v>
      </c>
      <c r="C23" s="9" t="s">
        <v>31</v>
      </c>
    </row>
    <row r="24" spans="2:3" x14ac:dyDescent="0.35">
      <c r="B24" s="9" t="s">
        <v>32</v>
      </c>
      <c r="C24" s="9" t="s">
        <v>33</v>
      </c>
    </row>
    <row r="25" spans="2:3" x14ac:dyDescent="0.35">
      <c r="B25" s="9" t="s">
        <v>34</v>
      </c>
      <c r="C25" s="9" t="s">
        <v>35</v>
      </c>
    </row>
    <row r="26" spans="2:3" x14ac:dyDescent="0.35">
      <c r="B26" s="9" t="s">
        <v>36</v>
      </c>
      <c r="C26" s="9" t="s">
        <v>37</v>
      </c>
    </row>
    <row r="27" spans="2:3" x14ac:dyDescent="0.35">
      <c r="B27" s="9" t="s">
        <v>38</v>
      </c>
      <c r="C27" s="9" t="s">
        <v>39</v>
      </c>
    </row>
    <row r="28" spans="2:3" x14ac:dyDescent="0.35">
      <c r="B28" s="9" t="s">
        <v>40</v>
      </c>
      <c r="C28" s="9" t="s">
        <v>41</v>
      </c>
    </row>
    <row r="29" spans="2:3" x14ac:dyDescent="0.35">
      <c r="B29" s="9" t="s">
        <v>42</v>
      </c>
      <c r="C29" s="9" t="s">
        <v>43</v>
      </c>
    </row>
    <row r="30" spans="2:3" ht="25" x14ac:dyDescent="0.35">
      <c r="B30" s="9" t="s">
        <v>44</v>
      </c>
      <c r="C30" s="9" t="s">
        <v>45</v>
      </c>
    </row>
    <row r="31" spans="2:3" x14ac:dyDescent="0.35">
      <c r="B31" s="9" t="s">
        <v>46</v>
      </c>
      <c r="C31" s="9" t="s">
        <v>43</v>
      </c>
    </row>
    <row r="33" spans="2:3" x14ac:dyDescent="0.35">
      <c r="B33" s="10" t="s">
        <v>47</v>
      </c>
    </row>
    <row r="35" spans="2:3" x14ac:dyDescent="0.35">
      <c r="B35" s="3" t="s">
        <v>48</v>
      </c>
    </row>
    <row r="36" spans="2:3" x14ac:dyDescent="0.35">
      <c r="B36" s="2" t="s">
        <v>49</v>
      </c>
      <c r="C36" s="11">
        <f>COUNTIF('Lembar Coding'!R2:R86,"OK")+COUNTIF('Lembar Coding'!R2:R86,"Periksa*")</f>
        <v>11</v>
      </c>
    </row>
    <row r="37" spans="2:3" x14ac:dyDescent="0.35">
      <c r="B37" s="2" t="s">
        <v>50</v>
      </c>
      <c r="C37" s="11">
        <f>COUNTIFS('Lembar Coding'!R2:R86,"OK",'Lembar Coding'!D2:D86,"Ya")+COUNTIFS('Lembar Coding'!R2:R86,"Periksa*",'Lembar Coding'!D2:D86,"Ya")</f>
        <v>11</v>
      </c>
    </row>
    <row r="38" spans="2:3" x14ac:dyDescent="0.35">
      <c r="B38" s="2" t="s">
        <v>51</v>
      </c>
      <c r="C38" s="11">
        <f>COUNTIF('Lembar Coding'!R2:R86,"R*")+COUNTIF('Lembar Coding'!R2:R86,"P9*")</f>
        <v>0</v>
      </c>
    </row>
    <row r="39" spans="2:3" x14ac:dyDescent="0.35">
      <c r="B39" s="10" t="s">
        <v>52</v>
      </c>
    </row>
  </sheetData>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86"/>
  <sheetViews>
    <sheetView tabSelected="1" zoomScale="80" zoomScaleNormal="80" workbookViewId="0">
      <pane xSplit="1" ySplit="1" topLeftCell="B59" activePane="bottomRight" state="frozen"/>
      <selection pane="topRight" activeCell="B1" sqref="B1"/>
      <selection pane="bottomLeft" activeCell="A2" sqref="A2"/>
      <selection pane="bottomRight" activeCell="R59" sqref="R59"/>
    </sheetView>
  </sheetViews>
  <sheetFormatPr defaultColWidth="8.6328125" defaultRowHeight="14.5" outlineLevelCol="1" x14ac:dyDescent="0.35"/>
  <cols>
    <col min="1" max="1" width="9" customWidth="1"/>
    <col min="2" max="2" width="10" customWidth="1"/>
    <col min="3" max="3" width="22" customWidth="1"/>
    <col min="4" max="4" width="7" customWidth="1"/>
    <col min="5" max="5" width="20" customWidth="1"/>
    <col min="6" max="7" width="24" hidden="1" customWidth="1" outlineLevel="1"/>
    <col min="8" max="8" width="75" customWidth="1" collapsed="1"/>
    <col min="9" max="10" width="11" customWidth="1"/>
    <col min="11" max="11" width="13" customWidth="1"/>
    <col min="12" max="12" width="11" customWidth="1"/>
    <col min="13" max="13" width="12" customWidth="1"/>
    <col min="14" max="14" width="13" customWidth="1"/>
    <col min="15" max="15" width="14" customWidth="1"/>
    <col min="16" max="16" width="38" customWidth="1"/>
    <col min="17" max="17" width="32" customWidth="1"/>
    <col min="18" max="18" width="30" customWidth="1"/>
  </cols>
  <sheetData>
    <row r="1" spans="1:18" s="17" customFormat="1" ht="42" customHeight="1" x14ac:dyDescent="0.35">
      <c r="A1" s="16" t="s">
        <v>53</v>
      </c>
      <c r="B1" s="16" t="s">
        <v>54</v>
      </c>
      <c r="C1" s="16" t="s">
        <v>55</v>
      </c>
      <c r="D1" s="16" t="s">
        <v>56</v>
      </c>
      <c r="E1" s="16" t="s">
        <v>57</v>
      </c>
      <c r="F1" s="16" t="s">
        <v>58</v>
      </c>
      <c r="G1" s="16" t="s">
        <v>59</v>
      </c>
      <c r="H1" s="16" t="s">
        <v>60</v>
      </c>
      <c r="I1" s="16" t="s">
        <v>30</v>
      </c>
      <c r="J1" s="16" t="s">
        <v>32</v>
      </c>
      <c r="K1" s="16" t="s">
        <v>34</v>
      </c>
      <c r="L1" s="16" t="s">
        <v>36</v>
      </c>
      <c r="M1" s="16" t="s">
        <v>38</v>
      </c>
      <c r="N1" s="16" t="s">
        <v>40</v>
      </c>
      <c r="O1" s="16" t="s">
        <v>61</v>
      </c>
      <c r="P1" s="16" t="s">
        <v>62</v>
      </c>
      <c r="Q1" s="16" t="s">
        <v>46</v>
      </c>
      <c r="R1" s="16" t="s">
        <v>63</v>
      </c>
    </row>
    <row r="2" spans="1:18" ht="25" x14ac:dyDescent="0.35">
      <c r="A2" s="12">
        <v>2</v>
      </c>
      <c r="B2" s="12" t="str">
        <f>IF(Petunjuk!$C$4="","",Petunjuk!$C$4)</f>
        <v>DENI GANTENG BANGET</v>
      </c>
      <c r="C2" s="9" t="s">
        <v>64</v>
      </c>
      <c r="D2" s="12"/>
      <c r="E2" s="9" t="s">
        <v>65</v>
      </c>
      <c r="F2" s="9" t="s">
        <v>66</v>
      </c>
      <c r="G2" s="9" t="s">
        <v>67</v>
      </c>
      <c r="H2" s="9" t="s">
        <v>68</v>
      </c>
      <c r="I2" s="13"/>
      <c r="J2" s="13"/>
      <c r="K2" s="13"/>
      <c r="L2" s="13"/>
      <c r="M2" s="13"/>
      <c r="N2" s="13"/>
      <c r="O2" s="13"/>
      <c r="P2" s="14"/>
      <c r="Q2" s="14"/>
      <c r="R2" s="9" t="str">
        <f t="shared" ref="R2:R33" si="0">IF(COUNTA(I2:N2)&lt;6,"Lengkapi V4-V9",IF(AND(I2="R0",N2&lt;&gt;"K5"),"R0 harus berpasangan dengan K5",IF(AND(I2="R1",N2&lt;&gt;"K4",N2&lt;&gt;"K5"),"R1 hanya dengan K4 atau K5",IF(AND(I2="R2",N2="K5"),"R2 tidak boleh K5",IF(AND(K2="P9",J2&lt;&gt;"T17"),"P9 hanya dengan T17",IF(AND(J2="T01",K2&lt;&gt;"P6",Q2=""),"Periksa T01-P6: jelaskan di V12",IF(AND(K2="P1",N2&lt;&gt;"K4",Q2=""),"Periksa P1-K4: jelaskan di V12",IF(AND(J2="T99",Q2=""),"Periksa T99: wajib isi V12","OK"))))))))</f>
        <v>Lengkapi V4-V9</v>
      </c>
    </row>
    <row r="3" spans="1:18" ht="25" x14ac:dyDescent="0.35">
      <c r="A3" s="12">
        <v>3</v>
      </c>
      <c r="B3" s="12" t="str">
        <f>IF(Petunjuk!$C$4="","",Petunjuk!$C$4)</f>
        <v>DENI GANTENG BANGET</v>
      </c>
      <c r="C3" s="9" t="s">
        <v>64</v>
      </c>
      <c r="D3" s="12"/>
      <c r="E3" s="9" t="s">
        <v>69</v>
      </c>
      <c r="F3" s="9" t="s">
        <v>66</v>
      </c>
      <c r="G3" s="9" t="s">
        <v>67</v>
      </c>
      <c r="H3" s="9" t="s">
        <v>70</v>
      </c>
      <c r="I3" s="13"/>
      <c r="J3" s="13"/>
      <c r="K3" s="13"/>
      <c r="L3" s="13"/>
      <c r="M3" s="13"/>
      <c r="N3" s="13"/>
      <c r="O3" s="13"/>
      <c r="P3" s="14"/>
      <c r="Q3" s="14"/>
      <c r="R3" s="9" t="str">
        <f t="shared" si="0"/>
        <v>Lengkapi V4-V9</v>
      </c>
    </row>
    <row r="4" spans="1:18" ht="37.5" x14ac:dyDescent="0.35">
      <c r="A4" s="12">
        <v>4</v>
      </c>
      <c r="B4" s="12" t="str">
        <f>IF(Petunjuk!$C$4="","",Petunjuk!$C$4)</f>
        <v>DENI GANTENG BANGET</v>
      </c>
      <c r="C4" s="9" t="s">
        <v>64</v>
      </c>
      <c r="D4" s="12"/>
      <c r="E4" s="9" t="s">
        <v>71</v>
      </c>
      <c r="F4" s="9" t="s">
        <v>66</v>
      </c>
      <c r="G4" s="9" t="s">
        <v>67</v>
      </c>
      <c r="H4" s="9" t="s">
        <v>72</v>
      </c>
      <c r="I4" s="13"/>
      <c r="J4" s="13"/>
      <c r="K4" s="13"/>
      <c r="L4" s="13"/>
      <c r="M4" s="13"/>
      <c r="N4" s="13"/>
      <c r="O4" s="13"/>
      <c r="P4" s="14"/>
      <c r="Q4" s="14"/>
      <c r="R4" s="9" t="str">
        <f t="shared" si="0"/>
        <v>Lengkapi V4-V9</v>
      </c>
    </row>
    <row r="5" spans="1:18" ht="25" x14ac:dyDescent="0.35">
      <c r="A5" s="12">
        <v>5</v>
      </c>
      <c r="B5" s="12" t="str">
        <f>IF(Petunjuk!$C$4="","",Petunjuk!$C$4)</f>
        <v>DENI GANTENG BANGET</v>
      </c>
      <c r="C5" s="9" t="s">
        <v>64</v>
      </c>
      <c r="D5" s="12"/>
      <c r="E5" s="9" t="s">
        <v>73</v>
      </c>
      <c r="F5" s="9" t="s">
        <v>66</v>
      </c>
      <c r="G5" s="9" t="s">
        <v>67</v>
      </c>
      <c r="H5" s="9" t="s">
        <v>74</v>
      </c>
      <c r="I5" s="13"/>
      <c r="J5" s="13"/>
      <c r="K5" s="13"/>
      <c r="L5" s="13"/>
      <c r="M5" s="13"/>
      <c r="N5" s="13"/>
      <c r="O5" s="13"/>
      <c r="P5" s="14"/>
      <c r="Q5" s="14"/>
      <c r="R5" s="9" t="str">
        <f t="shared" si="0"/>
        <v>Lengkapi V4-V9</v>
      </c>
    </row>
    <row r="6" spans="1:18" ht="25" x14ac:dyDescent="0.35">
      <c r="A6" s="12">
        <v>6</v>
      </c>
      <c r="B6" s="12" t="str">
        <f>IF(Petunjuk!$C$4="","",Petunjuk!$C$4)</f>
        <v>DENI GANTENG BANGET</v>
      </c>
      <c r="C6" s="9" t="s">
        <v>64</v>
      </c>
      <c r="D6" s="12"/>
      <c r="E6" s="9" t="s">
        <v>75</v>
      </c>
      <c r="F6" s="9" t="s">
        <v>66</v>
      </c>
      <c r="G6" s="9" t="s">
        <v>67</v>
      </c>
      <c r="H6" s="9" t="s">
        <v>76</v>
      </c>
      <c r="I6" s="13"/>
      <c r="J6" s="13"/>
      <c r="K6" s="13"/>
      <c r="L6" s="13"/>
      <c r="M6" s="13"/>
      <c r="N6" s="13"/>
      <c r="O6" s="13"/>
      <c r="P6" s="14"/>
      <c r="Q6" s="14"/>
      <c r="R6" s="9" t="str">
        <f t="shared" si="0"/>
        <v>Lengkapi V4-V9</v>
      </c>
    </row>
    <row r="7" spans="1:18" ht="25" x14ac:dyDescent="0.35">
      <c r="A7" s="12">
        <v>7</v>
      </c>
      <c r="B7" s="12" t="str">
        <f>IF(Petunjuk!$C$4="","",Petunjuk!$C$4)</f>
        <v>DENI GANTENG BANGET</v>
      </c>
      <c r="C7" s="9" t="s">
        <v>64</v>
      </c>
      <c r="D7" s="12"/>
      <c r="E7" s="9" t="s">
        <v>77</v>
      </c>
      <c r="F7" s="9" t="s">
        <v>66</v>
      </c>
      <c r="G7" s="9" t="s">
        <v>67</v>
      </c>
      <c r="H7" s="9" t="s">
        <v>78</v>
      </c>
      <c r="I7" s="13"/>
      <c r="J7" s="13"/>
      <c r="K7" s="13"/>
      <c r="L7" s="13"/>
      <c r="M7" s="13"/>
      <c r="N7" s="13"/>
      <c r="O7" s="13"/>
      <c r="P7" s="14"/>
      <c r="Q7" s="14"/>
      <c r="R7" s="9" t="str">
        <f t="shared" si="0"/>
        <v>Lengkapi V4-V9</v>
      </c>
    </row>
    <row r="8" spans="1:18" ht="25" x14ac:dyDescent="0.35">
      <c r="A8" s="12">
        <v>8</v>
      </c>
      <c r="B8" s="12" t="str">
        <f>IF(Petunjuk!$C$4="","",Petunjuk!$C$4)</f>
        <v>DENI GANTENG BANGET</v>
      </c>
      <c r="C8" s="9" t="s">
        <v>64</v>
      </c>
      <c r="D8" s="12"/>
      <c r="E8" s="9" t="s">
        <v>79</v>
      </c>
      <c r="F8" s="9" t="s">
        <v>66</v>
      </c>
      <c r="G8" s="9" t="s">
        <v>67</v>
      </c>
      <c r="H8" s="9" t="s">
        <v>80</v>
      </c>
      <c r="I8" s="13"/>
      <c r="J8" s="13"/>
      <c r="K8" s="13"/>
      <c r="L8" s="13"/>
      <c r="M8" s="13"/>
      <c r="N8" s="13"/>
      <c r="O8" s="13"/>
      <c r="P8" s="14"/>
      <c r="Q8" s="14"/>
      <c r="R8" s="9" t="str">
        <f t="shared" si="0"/>
        <v>Lengkapi V4-V9</v>
      </c>
    </row>
    <row r="9" spans="1:18" ht="25" x14ac:dyDescent="0.35">
      <c r="A9" s="12">
        <v>9</v>
      </c>
      <c r="B9" s="12" t="str">
        <f>IF(Petunjuk!$C$4="","",Petunjuk!$C$4)</f>
        <v>DENI GANTENG BANGET</v>
      </c>
      <c r="C9" s="9" t="s">
        <v>64</v>
      </c>
      <c r="D9" s="12"/>
      <c r="E9" s="9" t="s">
        <v>81</v>
      </c>
      <c r="F9" s="9" t="s">
        <v>66</v>
      </c>
      <c r="G9" s="9" t="s">
        <v>67</v>
      </c>
      <c r="H9" s="9" t="s">
        <v>82</v>
      </c>
      <c r="I9" s="13"/>
      <c r="J9" s="13"/>
      <c r="K9" s="13"/>
      <c r="L9" s="13"/>
      <c r="M9" s="13"/>
      <c r="N9" s="13"/>
      <c r="O9" s="13"/>
      <c r="P9" s="14"/>
      <c r="Q9" s="14"/>
      <c r="R9" s="9" t="str">
        <f t="shared" si="0"/>
        <v>Lengkapi V4-V9</v>
      </c>
    </row>
    <row r="10" spans="1:18" ht="25" x14ac:dyDescent="0.35">
      <c r="A10" s="12">
        <v>10</v>
      </c>
      <c r="B10" s="12" t="str">
        <f>IF(Petunjuk!$C$4="","",Petunjuk!$C$4)</f>
        <v>DENI GANTENG BANGET</v>
      </c>
      <c r="C10" s="9" t="s">
        <v>64</v>
      </c>
      <c r="D10" s="12"/>
      <c r="E10" s="9" t="s">
        <v>83</v>
      </c>
      <c r="F10" s="9" t="s">
        <v>66</v>
      </c>
      <c r="G10" s="9" t="s">
        <v>67</v>
      </c>
      <c r="H10" s="9" t="s">
        <v>84</v>
      </c>
      <c r="I10" s="13"/>
      <c r="J10" s="13"/>
      <c r="K10" s="13"/>
      <c r="L10" s="13"/>
      <c r="M10" s="13"/>
      <c r="N10" s="13"/>
      <c r="O10" s="13"/>
      <c r="P10" s="14"/>
      <c r="Q10" s="14"/>
      <c r="R10" s="9" t="str">
        <f t="shared" si="0"/>
        <v>Lengkapi V4-V9</v>
      </c>
    </row>
    <row r="11" spans="1:18" ht="25" x14ac:dyDescent="0.35">
      <c r="A11" s="12">
        <v>11</v>
      </c>
      <c r="B11" s="12" t="str">
        <f>IF(Petunjuk!$C$4="","",Petunjuk!$C$4)</f>
        <v>DENI GANTENG BANGET</v>
      </c>
      <c r="C11" s="9" t="s">
        <v>64</v>
      </c>
      <c r="D11" s="12"/>
      <c r="E11" s="9" t="s">
        <v>85</v>
      </c>
      <c r="F11" s="9" t="s">
        <v>66</v>
      </c>
      <c r="G11" s="9" t="s">
        <v>67</v>
      </c>
      <c r="H11" s="9" t="s">
        <v>86</v>
      </c>
      <c r="I11" s="13"/>
      <c r="J11" s="13"/>
      <c r="K11" s="13"/>
      <c r="L11" s="13"/>
      <c r="M11" s="13"/>
      <c r="N11" s="13"/>
      <c r="O11" s="13"/>
      <c r="P11" s="14"/>
      <c r="Q11" s="14"/>
      <c r="R11" s="9" t="str">
        <f t="shared" si="0"/>
        <v>Lengkapi V4-V9</v>
      </c>
    </row>
    <row r="12" spans="1:18" ht="25" x14ac:dyDescent="0.35">
      <c r="A12" s="12">
        <v>12</v>
      </c>
      <c r="B12" s="12" t="str">
        <f>IF(Petunjuk!$C$4="","",Petunjuk!$C$4)</f>
        <v>DENI GANTENG BANGET</v>
      </c>
      <c r="C12" s="9" t="s">
        <v>64</v>
      </c>
      <c r="D12" s="12"/>
      <c r="E12" s="9" t="s">
        <v>87</v>
      </c>
      <c r="F12" s="9" t="s">
        <v>66</v>
      </c>
      <c r="G12" s="9" t="s">
        <v>67</v>
      </c>
      <c r="H12" s="9" t="s">
        <v>88</v>
      </c>
      <c r="I12" s="13"/>
      <c r="J12" s="13"/>
      <c r="K12" s="13"/>
      <c r="L12" s="13"/>
      <c r="M12" s="13"/>
      <c r="N12" s="13"/>
      <c r="O12" s="13"/>
      <c r="P12" s="14"/>
      <c r="Q12" s="14"/>
      <c r="R12" s="9" t="str">
        <f t="shared" si="0"/>
        <v>Lengkapi V4-V9</v>
      </c>
    </row>
    <row r="13" spans="1:18" ht="62.5" x14ac:dyDescent="0.35">
      <c r="A13" s="12">
        <v>13</v>
      </c>
      <c r="B13" s="12" t="str">
        <f>IF(Petunjuk!$C$4="","",Petunjuk!$C$4)</f>
        <v>DENI GANTENG BANGET</v>
      </c>
      <c r="C13" s="9" t="s">
        <v>64</v>
      </c>
      <c r="D13" s="15" t="s">
        <v>89</v>
      </c>
      <c r="E13" s="9" t="s">
        <v>90</v>
      </c>
      <c r="F13" s="9" t="s">
        <v>66</v>
      </c>
      <c r="G13" s="9" t="s">
        <v>67</v>
      </c>
      <c r="H13" s="9" t="s">
        <v>91</v>
      </c>
      <c r="I13" s="13" t="s">
        <v>31</v>
      </c>
      <c r="J13" s="13" t="s">
        <v>274</v>
      </c>
      <c r="K13" s="13" t="s">
        <v>310</v>
      </c>
      <c r="L13" s="13" t="s">
        <v>339</v>
      </c>
      <c r="M13" s="13" t="s">
        <v>351</v>
      </c>
      <c r="N13" s="13" t="s">
        <v>369</v>
      </c>
      <c r="O13" s="13"/>
      <c r="P13" s="14"/>
      <c r="Q13" s="14"/>
      <c r="R13" s="9" t="str">
        <f t="shared" si="0"/>
        <v>OK</v>
      </c>
    </row>
    <row r="14" spans="1:18" ht="25" x14ac:dyDescent="0.35">
      <c r="A14" s="12">
        <v>14</v>
      </c>
      <c r="B14" s="12" t="str">
        <f>IF(Petunjuk!$C$4="","",Petunjuk!$C$4)</f>
        <v>DENI GANTENG BANGET</v>
      </c>
      <c r="C14" s="9" t="s">
        <v>64</v>
      </c>
      <c r="D14" s="12"/>
      <c r="E14" s="9" t="s">
        <v>92</v>
      </c>
      <c r="F14" s="9" t="s">
        <v>66</v>
      </c>
      <c r="G14" s="9" t="s">
        <v>67</v>
      </c>
      <c r="H14" s="9" t="s">
        <v>93</v>
      </c>
      <c r="I14" s="13"/>
      <c r="J14" s="13"/>
      <c r="K14" s="13"/>
      <c r="L14" s="13"/>
      <c r="M14" s="13"/>
      <c r="N14" s="13"/>
      <c r="O14" s="13"/>
      <c r="P14" s="14"/>
      <c r="Q14" s="14"/>
      <c r="R14" s="9" t="str">
        <f t="shared" si="0"/>
        <v>Lengkapi V4-V9</v>
      </c>
    </row>
    <row r="15" spans="1:18" ht="25" x14ac:dyDescent="0.35">
      <c r="A15" s="12">
        <v>15</v>
      </c>
      <c r="B15" s="12" t="str">
        <f>IF(Petunjuk!$C$4="","",Petunjuk!$C$4)</f>
        <v>DENI GANTENG BANGET</v>
      </c>
      <c r="C15" s="9" t="s">
        <v>64</v>
      </c>
      <c r="D15" s="12"/>
      <c r="E15" s="9" t="s">
        <v>94</v>
      </c>
      <c r="F15" s="9" t="s">
        <v>66</v>
      </c>
      <c r="G15" s="9" t="s">
        <v>67</v>
      </c>
      <c r="H15" s="9" t="s">
        <v>95</v>
      </c>
      <c r="I15" s="13"/>
      <c r="J15" s="13"/>
      <c r="K15" s="13"/>
      <c r="L15" s="13"/>
      <c r="M15" s="13"/>
      <c r="N15" s="13"/>
      <c r="O15" s="13"/>
      <c r="P15" s="14"/>
      <c r="Q15" s="14"/>
      <c r="R15" s="9" t="str">
        <f t="shared" si="0"/>
        <v>Lengkapi V4-V9</v>
      </c>
    </row>
    <row r="16" spans="1:18" ht="25" x14ac:dyDescent="0.35">
      <c r="A16" s="12">
        <v>16</v>
      </c>
      <c r="B16" s="12" t="str">
        <f>IF(Petunjuk!$C$4="","",Petunjuk!$C$4)</f>
        <v>DENI GANTENG BANGET</v>
      </c>
      <c r="C16" s="9" t="s">
        <v>64</v>
      </c>
      <c r="D16" s="12"/>
      <c r="E16" s="9" t="s">
        <v>96</v>
      </c>
      <c r="F16" s="9" t="s">
        <v>66</v>
      </c>
      <c r="G16" s="9" t="s">
        <v>67</v>
      </c>
      <c r="H16" s="9" t="s">
        <v>97</v>
      </c>
      <c r="I16" s="13"/>
      <c r="J16" s="13"/>
      <c r="K16" s="13"/>
      <c r="L16" s="13"/>
      <c r="M16" s="13"/>
      <c r="N16" s="13"/>
      <c r="O16" s="13"/>
      <c r="P16" s="14"/>
      <c r="Q16" s="14"/>
      <c r="R16" s="9" t="str">
        <f t="shared" si="0"/>
        <v>Lengkapi V4-V9</v>
      </c>
    </row>
    <row r="17" spans="1:18" ht="25" x14ac:dyDescent="0.35">
      <c r="A17" s="12">
        <v>17</v>
      </c>
      <c r="B17" s="12" t="str">
        <f>IF(Petunjuk!$C$4="","",Petunjuk!$C$4)</f>
        <v>DENI GANTENG BANGET</v>
      </c>
      <c r="C17" s="9" t="s">
        <v>64</v>
      </c>
      <c r="D17" s="12"/>
      <c r="E17" s="9" t="s">
        <v>98</v>
      </c>
      <c r="F17" s="9" t="s">
        <v>66</v>
      </c>
      <c r="G17" s="9" t="s">
        <v>67</v>
      </c>
      <c r="H17" s="9" t="s">
        <v>99</v>
      </c>
      <c r="I17" s="13"/>
      <c r="J17" s="13"/>
      <c r="K17" s="13"/>
      <c r="L17" s="13"/>
      <c r="M17" s="13"/>
      <c r="N17" s="13"/>
      <c r="O17" s="13"/>
      <c r="P17" s="14"/>
      <c r="Q17" s="14"/>
      <c r="R17" s="9" t="str">
        <f t="shared" si="0"/>
        <v>Lengkapi V4-V9</v>
      </c>
    </row>
    <row r="18" spans="1:18" ht="25" x14ac:dyDescent="0.35">
      <c r="A18" s="12">
        <v>18</v>
      </c>
      <c r="B18" s="12" t="str">
        <f>IF(Petunjuk!$C$4="","",Petunjuk!$C$4)</f>
        <v>DENI GANTENG BANGET</v>
      </c>
      <c r="C18" s="9" t="s">
        <v>64</v>
      </c>
      <c r="D18" s="12"/>
      <c r="E18" s="9" t="s">
        <v>100</v>
      </c>
      <c r="F18" s="9" t="s">
        <v>66</v>
      </c>
      <c r="G18" s="9" t="s">
        <v>67</v>
      </c>
      <c r="H18" s="9" t="s">
        <v>101</v>
      </c>
      <c r="I18" s="13"/>
      <c r="J18" s="13"/>
      <c r="K18" s="13"/>
      <c r="L18" s="13"/>
      <c r="M18" s="13"/>
      <c r="N18" s="13"/>
      <c r="O18" s="13"/>
      <c r="P18" s="14"/>
      <c r="Q18" s="14"/>
      <c r="R18" s="9" t="str">
        <f t="shared" si="0"/>
        <v>Lengkapi V4-V9</v>
      </c>
    </row>
    <row r="19" spans="1:18" ht="25" x14ac:dyDescent="0.35">
      <c r="A19" s="12">
        <v>19</v>
      </c>
      <c r="B19" s="12" t="str">
        <f>IF(Petunjuk!$C$4="","",Petunjuk!$C$4)</f>
        <v>DENI GANTENG BANGET</v>
      </c>
      <c r="C19" s="9" t="s">
        <v>64</v>
      </c>
      <c r="D19" s="12"/>
      <c r="E19" s="9" t="s">
        <v>102</v>
      </c>
      <c r="F19" s="9" t="s">
        <v>66</v>
      </c>
      <c r="G19" s="9" t="s">
        <v>67</v>
      </c>
      <c r="H19" s="9" t="s">
        <v>103</v>
      </c>
      <c r="I19" s="13"/>
      <c r="J19" s="13"/>
      <c r="K19" s="13"/>
      <c r="L19" s="13"/>
      <c r="M19" s="13"/>
      <c r="N19" s="13"/>
      <c r="O19" s="13"/>
      <c r="P19" s="14"/>
      <c r="Q19" s="14"/>
      <c r="R19" s="9" t="str">
        <f t="shared" si="0"/>
        <v>Lengkapi V4-V9</v>
      </c>
    </row>
    <row r="20" spans="1:18" ht="37.5" x14ac:dyDescent="0.35">
      <c r="A20" s="12">
        <v>20</v>
      </c>
      <c r="B20" s="12" t="str">
        <f>IF(Petunjuk!$C$4="","",Petunjuk!$C$4)</f>
        <v>DENI GANTENG BANGET</v>
      </c>
      <c r="C20" s="9" t="s">
        <v>64</v>
      </c>
      <c r="D20" s="12"/>
      <c r="E20" s="9" t="s">
        <v>104</v>
      </c>
      <c r="F20" s="9" t="s">
        <v>66</v>
      </c>
      <c r="G20" s="9" t="s">
        <v>67</v>
      </c>
      <c r="H20" s="9" t="s">
        <v>105</v>
      </c>
      <c r="I20" s="13"/>
      <c r="J20" s="13"/>
      <c r="K20" s="13"/>
      <c r="L20" s="13"/>
      <c r="M20" s="13"/>
      <c r="N20" s="13"/>
      <c r="O20" s="13"/>
      <c r="P20" s="14"/>
      <c r="Q20" s="14"/>
      <c r="R20" s="9" t="str">
        <f t="shared" si="0"/>
        <v>Lengkapi V4-V9</v>
      </c>
    </row>
    <row r="21" spans="1:18" ht="25" x14ac:dyDescent="0.35">
      <c r="A21" s="12">
        <v>21</v>
      </c>
      <c r="B21" s="12" t="str">
        <f>IF(Petunjuk!$C$4="","",Petunjuk!$C$4)</f>
        <v>DENI GANTENG BANGET</v>
      </c>
      <c r="C21" s="9" t="s">
        <v>64</v>
      </c>
      <c r="D21" s="15" t="s">
        <v>89</v>
      </c>
      <c r="E21" s="9" t="s">
        <v>106</v>
      </c>
      <c r="F21" s="9" t="s">
        <v>66</v>
      </c>
      <c r="G21" s="9" t="s">
        <v>67</v>
      </c>
      <c r="H21" s="9" t="s">
        <v>107</v>
      </c>
      <c r="I21" s="13" t="s">
        <v>262</v>
      </c>
      <c r="J21" s="13" t="s">
        <v>297</v>
      </c>
      <c r="K21" s="13" t="s">
        <v>322</v>
      </c>
      <c r="L21" s="13" t="s">
        <v>343</v>
      </c>
      <c r="M21" s="13" t="s">
        <v>357</v>
      </c>
      <c r="N21" s="13" t="s">
        <v>373</v>
      </c>
      <c r="O21" s="13"/>
      <c r="P21" s="14"/>
      <c r="Q21" s="14"/>
      <c r="R21" s="9" t="str">
        <f t="shared" si="0"/>
        <v>OK</v>
      </c>
    </row>
    <row r="22" spans="1:18" ht="37.5" x14ac:dyDescent="0.35">
      <c r="A22" s="12">
        <v>22</v>
      </c>
      <c r="B22" s="12" t="str">
        <f>IF(Petunjuk!$C$4="","",Petunjuk!$C$4)</f>
        <v>DENI GANTENG BANGET</v>
      </c>
      <c r="C22" s="9" t="s">
        <v>64</v>
      </c>
      <c r="D22" s="12"/>
      <c r="E22" s="9" t="s">
        <v>108</v>
      </c>
      <c r="F22" s="9" t="s">
        <v>66</v>
      </c>
      <c r="G22" s="9" t="s">
        <v>67</v>
      </c>
      <c r="H22" s="9" t="s">
        <v>109</v>
      </c>
      <c r="I22" s="13"/>
      <c r="J22" s="13"/>
      <c r="K22" s="13"/>
      <c r="L22" s="13"/>
      <c r="M22" s="13"/>
      <c r="N22" s="13"/>
      <c r="O22" s="13"/>
      <c r="P22" s="14"/>
      <c r="Q22" s="14"/>
      <c r="R22" s="9" t="str">
        <f t="shared" si="0"/>
        <v>Lengkapi V4-V9</v>
      </c>
    </row>
    <row r="23" spans="1:18" ht="25" x14ac:dyDescent="0.35">
      <c r="A23" s="12">
        <v>23</v>
      </c>
      <c r="B23" s="12" t="str">
        <f>IF(Petunjuk!$C$4="","",Petunjuk!$C$4)</f>
        <v>DENI GANTENG BANGET</v>
      </c>
      <c r="C23" s="9" t="s">
        <v>64</v>
      </c>
      <c r="D23" s="12"/>
      <c r="E23" s="9" t="s">
        <v>110</v>
      </c>
      <c r="F23" s="9" t="s">
        <v>66</v>
      </c>
      <c r="G23" s="9" t="s">
        <v>67</v>
      </c>
      <c r="H23" s="9" t="s">
        <v>111</v>
      </c>
      <c r="I23" s="13"/>
      <c r="J23" s="13"/>
      <c r="K23" s="13"/>
      <c r="L23" s="13"/>
      <c r="M23" s="13"/>
      <c r="N23" s="13"/>
      <c r="O23" s="13"/>
      <c r="P23" s="14"/>
      <c r="Q23" s="14"/>
      <c r="R23" s="9" t="str">
        <f t="shared" si="0"/>
        <v>Lengkapi V4-V9</v>
      </c>
    </row>
    <row r="24" spans="1:18" ht="25" x14ac:dyDescent="0.35">
      <c r="A24" s="12">
        <v>24</v>
      </c>
      <c r="B24" s="12" t="str">
        <f>IF(Petunjuk!$C$4="","",Petunjuk!$C$4)</f>
        <v>DENI GANTENG BANGET</v>
      </c>
      <c r="C24" s="9" t="s">
        <v>64</v>
      </c>
      <c r="D24" s="12"/>
      <c r="E24" s="9" t="s">
        <v>112</v>
      </c>
      <c r="F24" s="9" t="s">
        <v>66</v>
      </c>
      <c r="G24" s="9" t="s">
        <v>67</v>
      </c>
      <c r="H24" s="9" t="s">
        <v>113</v>
      </c>
      <c r="I24" s="13"/>
      <c r="J24" s="13"/>
      <c r="K24" s="13"/>
      <c r="L24" s="13"/>
      <c r="M24" s="13"/>
      <c r="N24" s="13"/>
      <c r="O24" s="13"/>
      <c r="P24" s="14"/>
      <c r="Q24" s="14"/>
      <c r="R24" s="9" t="str">
        <f t="shared" si="0"/>
        <v>Lengkapi V4-V9</v>
      </c>
    </row>
    <row r="25" spans="1:18" ht="25" x14ac:dyDescent="0.35">
      <c r="A25" s="12">
        <v>25</v>
      </c>
      <c r="B25" s="12" t="str">
        <f>IF(Petunjuk!$C$4="","",Petunjuk!$C$4)</f>
        <v>DENI GANTENG BANGET</v>
      </c>
      <c r="C25" s="9" t="s">
        <v>64</v>
      </c>
      <c r="D25" s="15" t="s">
        <v>89</v>
      </c>
      <c r="E25" s="9" t="s">
        <v>114</v>
      </c>
      <c r="F25" s="9" t="s">
        <v>115</v>
      </c>
      <c r="G25" s="9"/>
      <c r="H25" s="9" t="s">
        <v>116</v>
      </c>
      <c r="I25" s="13" t="s">
        <v>262</v>
      </c>
      <c r="J25" s="13" t="s">
        <v>297</v>
      </c>
      <c r="K25" s="13" t="s">
        <v>322</v>
      </c>
      <c r="L25" s="13" t="s">
        <v>343</v>
      </c>
      <c r="M25" s="13" t="s">
        <v>351</v>
      </c>
      <c r="N25" s="13" t="s">
        <v>373</v>
      </c>
      <c r="O25" s="13"/>
      <c r="P25" s="14"/>
      <c r="Q25" s="14"/>
      <c r="R25" s="9" t="str">
        <f t="shared" si="0"/>
        <v>OK</v>
      </c>
    </row>
    <row r="26" spans="1:18" ht="25" x14ac:dyDescent="0.35">
      <c r="A26" s="12">
        <v>26</v>
      </c>
      <c r="B26" s="12" t="str">
        <f>IF(Petunjuk!$C$4="","",Petunjuk!$C$4)</f>
        <v>DENI GANTENG BANGET</v>
      </c>
      <c r="C26" s="9" t="s">
        <v>64</v>
      </c>
      <c r="D26" s="12"/>
      <c r="E26" s="9" t="s">
        <v>117</v>
      </c>
      <c r="F26" s="9" t="s">
        <v>115</v>
      </c>
      <c r="G26" s="9"/>
      <c r="H26" s="9" t="s">
        <v>118</v>
      </c>
      <c r="I26" s="13"/>
      <c r="J26" s="13"/>
      <c r="K26" s="13"/>
      <c r="L26" s="13"/>
      <c r="M26" s="13"/>
      <c r="N26" s="13"/>
      <c r="O26" s="13"/>
      <c r="P26" s="14"/>
      <c r="Q26" s="14"/>
      <c r="R26" s="9" t="str">
        <f t="shared" si="0"/>
        <v>Lengkapi V4-V9</v>
      </c>
    </row>
    <row r="27" spans="1:18" ht="75" x14ac:dyDescent="0.35">
      <c r="A27" s="12">
        <v>27</v>
      </c>
      <c r="B27" s="12" t="str">
        <f>IF(Petunjuk!$C$4="","",Petunjuk!$C$4)</f>
        <v>DENI GANTENG BANGET</v>
      </c>
      <c r="C27" s="9" t="s">
        <v>119</v>
      </c>
      <c r="D27" s="12"/>
      <c r="E27" s="9" t="s">
        <v>120</v>
      </c>
      <c r="F27" s="9" t="s">
        <v>121</v>
      </c>
      <c r="G27" s="9" t="s">
        <v>122</v>
      </c>
      <c r="H27" s="9" t="s">
        <v>123</v>
      </c>
      <c r="I27" s="13"/>
      <c r="J27" s="13"/>
      <c r="K27" s="13"/>
      <c r="L27" s="13"/>
      <c r="M27" s="13"/>
      <c r="N27" s="13"/>
      <c r="O27" s="13"/>
      <c r="P27" s="14"/>
      <c r="Q27" s="14"/>
      <c r="R27" s="9" t="str">
        <f t="shared" si="0"/>
        <v>Lengkapi V4-V9</v>
      </c>
    </row>
    <row r="28" spans="1:18" ht="325" x14ac:dyDescent="0.35">
      <c r="A28" s="12">
        <v>28</v>
      </c>
      <c r="B28" s="12" t="str">
        <f>IF(Petunjuk!$C$4="","",Petunjuk!$C$4)</f>
        <v>DENI GANTENG BANGET</v>
      </c>
      <c r="C28" s="9" t="s">
        <v>124</v>
      </c>
      <c r="D28" s="12"/>
      <c r="E28" s="9" t="s">
        <v>125</v>
      </c>
      <c r="F28" s="9" t="s">
        <v>126</v>
      </c>
      <c r="G28" s="9"/>
      <c r="H28" s="9" t="s">
        <v>127</v>
      </c>
      <c r="I28" s="13"/>
      <c r="J28" s="13"/>
      <c r="K28" s="13"/>
      <c r="L28" s="13"/>
      <c r="M28" s="13"/>
      <c r="N28" s="13"/>
      <c r="O28" s="13"/>
      <c r="P28" s="14"/>
      <c r="Q28" s="14"/>
      <c r="R28" s="9" t="str">
        <f t="shared" si="0"/>
        <v>Lengkapi V4-V9</v>
      </c>
    </row>
    <row r="29" spans="1:18" ht="100" x14ac:dyDescent="0.35">
      <c r="A29" s="12">
        <v>29</v>
      </c>
      <c r="B29" s="12" t="str">
        <f>IF(Petunjuk!$C$4="","",Petunjuk!$C$4)</f>
        <v>DENI GANTENG BANGET</v>
      </c>
      <c r="C29" s="9" t="s">
        <v>124</v>
      </c>
      <c r="D29" s="12"/>
      <c r="E29" s="9" t="s">
        <v>128</v>
      </c>
      <c r="F29" s="9" t="s">
        <v>126</v>
      </c>
      <c r="G29" s="9"/>
      <c r="H29" s="9" t="s">
        <v>129</v>
      </c>
      <c r="I29" s="13"/>
      <c r="J29" s="13"/>
      <c r="K29" s="13"/>
      <c r="L29" s="13"/>
      <c r="M29" s="13"/>
      <c r="N29" s="13"/>
      <c r="O29" s="13"/>
      <c r="P29" s="14"/>
      <c r="Q29" s="14"/>
      <c r="R29" s="9" t="str">
        <f t="shared" si="0"/>
        <v>Lengkapi V4-V9</v>
      </c>
    </row>
    <row r="30" spans="1:18" ht="25" x14ac:dyDescent="0.35">
      <c r="A30" s="12">
        <v>30</v>
      </c>
      <c r="B30" s="12" t="str">
        <f>IF(Petunjuk!$C$4="","",Petunjuk!$C$4)</f>
        <v>DENI GANTENG BANGET</v>
      </c>
      <c r="C30" s="9" t="s">
        <v>124</v>
      </c>
      <c r="D30" s="12"/>
      <c r="E30" s="9" t="s">
        <v>130</v>
      </c>
      <c r="F30" s="9" t="s">
        <v>131</v>
      </c>
      <c r="G30" s="9"/>
      <c r="H30" s="9" t="s">
        <v>132</v>
      </c>
      <c r="I30" s="13"/>
      <c r="J30" s="13"/>
      <c r="K30" s="13"/>
      <c r="L30" s="13"/>
      <c r="M30" s="13"/>
      <c r="N30" s="13"/>
      <c r="O30" s="13"/>
      <c r="P30" s="14"/>
      <c r="Q30" s="14"/>
      <c r="R30" s="9" t="str">
        <f t="shared" si="0"/>
        <v>Lengkapi V4-V9</v>
      </c>
    </row>
    <row r="31" spans="1:18" ht="100" x14ac:dyDescent="0.35">
      <c r="A31" s="12">
        <v>31</v>
      </c>
      <c r="B31" s="12" t="str">
        <f>IF(Petunjuk!$C$4="","",Petunjuk!$C$4)</f>
        <v>DENI GANTENG BANGET</v>
      </c>
      <c r="C31" s="9" t="s">
        <v>124</v>
      </c>
      <c r="D31" s="12"/>
      <c r="E31" s="9" t="s">
        <v>133</v>
      </c>
      <c r="F31" s="9" t="s">
        <v>134</v>
      </c>
      <c r="G31" s="9"/>
      <c r="H31" s="9" t="s">
        <v>135</v>
      </c>
      <c r="I31" s="13"/>
      <c r="J31" s="13"/>
      <c r="K31" s="13"/>
      <c r="L31" s="13"/>
      <c r="M31" s="13"/>
      <c r="N31" s="13"/>
      <c r="O31" s="13"/>
      <c r="P31" s="14"/>
      <c r="Q31" s="14"/>
      <c r="R31" s="9" t="str">
        <f t="shared" si="0"/>
        <v>Lengkapi V4-V9</v>
      </c>
    </row>
    <row r="32" spans="1:18" ht="37.5" x14ac:dyDescent="0.35">
      <c r="A32" s="12">
        <v>32</v>
      </c>
      <c r="B32" s="12" t="str">
        <f>IF(Petunjuk!$C$4="","",Petunjuk!$C$4)</f>
        <v>DENI GANTENG BANGET</v>
      </c>
      <c r="C32" s="9" t="s">
        <v>124</v>
      </c>
      <c r="D32" s="12"/>
      <c r="E32" s="9" t="s">
        <v>136</v>
      </c>
      <c r="F32" s="9" t="s">
        <v>137</v>
      </c>
      <c r="G32" s="9"/>
      <c r="H32" s="9" t="s">
        <v>138</v>
      </c>
      <c r="I32" s="13"/>
      <c r="J32" s="13"/>
      <c r="K32" s="13"/>
      <c r="L32" s="13"/>
      <c r="M32" s="13"/>
      <c r="N32" s="13"/>
      <c r="O32" s="13"/>
      <c r="P32" s="14"/>
      <c r="Q32" s="14"/>
      <c r="R32" s="9" t="str">
        <f t="shared" si="0"/>
        <v>Lengkapi V4-V9</v>
      </c>
    </row>
    <row r="33" spans="1:18" ht="37.5" x14ac:dyDescent="0.35">
      <c r="A33" s="12">
        <v>33</v>
      </c>
      <c r="B33" s="12" t="str">
        <f>IF(Petunjuk!$C$4="","",Petunjuk!$C$4)</f>
        <v>DENI GANTENG BANGET</v>
      </c>
      <c r="C33" s="9" t="s">
        <v>124</v>
      </c>
      <c r="D33" s="12"/>
      <c r="E33" s="9" t="s">
        <v>139</v>
      </c>
      <c r="F33" s="9" t="s">
        <v>137</v>
      </c>
      <c r="G33" s="9"/>
      <c r="H33" s="9" t="s">
        <v>140</v>
      </c>
      <c r="I33" s="13"/>
      <c r="J33" s="13"/>
      <c r="K33" s="13"/>
      <c r="L33" s="13"/>
      <c r="M33" s="13"/>
      <c r="N33" s="13"/>
      <c r="O33" s="13"/>
      <c r="P33" s="14"/>
      <c r="Q33" s="14"/>
      <c r="R33" s="9" t="str">
        <f t="shared" si="0"/>
        <v>Lengkapi V4-V9</v>
      </c>
    </row>
    <row r="34" spans="1:18" ht="37.5" x14ac:dyDescent="0.35">
      <c r="A34" s="12">
        <v>34</v>
      </c>
      <c r="B34" s="12" t="str">
        <f>IF(Petunjuk!$C$4="","",Petunjuk!$C$4)</f>
        <v>DENI GANTENG BANGET</v>
      </c>
      <c r="C34" s="9" t="s">
        <v>124</v>
      </c>
      <c r="D34" s="12"/>
      <c r="E34" s="9" t="s">
        <v>141</v>
      </c>
      <c r="F34" s="9" t="s">
        <v>137</v>
      </c>
      <c r="G34" s="9"/>
      <c r="H34" s="9" t="s">
        <v>142</v>
      </c>
      <c r="I34" s="13"/>
      <c r="J34" s="13"/>
      <c r="K34" s="13"/>
      <c r="L34" s="13"/>
      <c r="M34" s="13"/>
      <c r="N34" s="13"/>
      <c r="O34" s="13"/>
      <c r="P34" s="14"/>
      <c r="Q34" s="14"/>
      <c r="R34" s="9" t="str">
        <f t="shared" ref="R34:R65" si="1">IF(COUNTA(I34:N34)&lt;6,"Lengkapi V4-V9",IF(AND(I34="R0",N34&lt;&gt;"K5"),"R0 harus berpasangan dengan K5",IF(AND(I34="R1",N34&lt;&gt;"K4",N34&lt;&gt;"K5"),"R1 hanya dengan K4 atau K5",IF(AND(I34="R2",N34="K5"),"R2 tidak boleh K5",IF(AND(K34="P9",J34&lt;&gt;"T17"),"P9 hanya dengan T17",IF(AND(J34="T01",K34&lt;&gt;"P6",Q34=""),"Periksa T01-P6: jelaskan di V12",IF(AND(K34="P1",N34&lt;&gt;"K4",Q34=""),"Periksa P1-K4: jelaskan di V12",IF(AND(J34="T99",Q34=""),"Periksa T99: wajib isi V12","OK"))))))))</f>
        <v>Lengkapi V4-V9</v>
      </c>
    </row>
    <row r="35" spans="1:18" ht="37.5" x14ac:dyDescent="0.35">
      <c r="A35" s="12">
        <v>35</v>
      </c>
      <c r="B35" s="12" t="str">
        <f>IF(Petunjuk!$C$4="","",Petunjuk!$C$4)</f>
        <v>DENI GANTENG BANGET</v>
      </c>
      <c r="C35" s="9" t="s">
        <v>124</v>
      </c>
      <c r="D35" s="15" t="s">
        <v>89</v>
      </c>
      <c r="E35" s="9" t="s">
        <v>143</v>
      </c>
      <c r="F35" s="9" t="s">
        <v>137</v>
      </c>
      <c r="G35" s="9"/>
      <c r="H35" s="9" t="s">
        <v>144</v>
      </c>
      <c r="I35" s="13" t="s">
        <v>31</v>
      </c>
      <c r="J35" s="13" t="s">
        <v>274</v>
      </c>
      <c r="K35" s="13" t="s">
        <v>310</v>
      </c>
      <c r="L35" s="13" t="s">
        <v>337</v>
      </c>
      <c r="M35" s="13" t="s">
        <v>362</v>
      </c>
      <c r="N35" s="13" t="s">
        <v>369</v>
      </c>
      <c r="O35" s="13"/>
      <c r="P35" s="14"/>
      <c r="Q35" s="14"/>
      <c r="R35" s="9" t="str">
        <f t="shared" si="1"/>
        <v>OK</v>
      </c>
    </row>
    <row r="36" spans="1:18" ht="37.5" x14ac:dyDescent="0.35">
      <c r="A36" s="12">
        <v>36</v>
      </c>
      <c r="B36" s="12" t="str">
        <f>IF(Petunjuk!$C$4="","",Petunjuk!$C$4)</f>
        <v>DENI GANTENG BANGET</v>
      </c>
      <c r="C36" s="9" t="s">
        <v>124</v>
      </c>
      <c r="D36" s="12"/>
      <c r="E36" s="9" t="s">
        <v>145</v>
      </c>
      <c r="F36" s="9" t="s">
        <v>137</v>
      </c>
      <c r="G36" s="9"/>
      <c r="H36" s="9" t="s">
        <v>146</v>
      </c>
      <c r="I36" s="13"/>
      <c r="J36" s="13"/>
      <c r="K36" s="13"/>
      <c r="L36" s="13"/>
      <c r="M36" s="13"/>
      <c r="N36" s="13"/>
      <c r="O36" s="13"/>
      <c r="P36" s="14"/>
      <c r="Q36" s="14"/>
      <c r="R36" s="9" t="str">
        <f t="shared" si="1"/>
        <v>Lengkapi V4-V9</v>
      </c>
    </row>
    <row r="37" spans="1:18" ht="62.5" x14ac:dyDescent="0.35">
      <c r="A37" s="12">
        <v>37</v>
      </c>
      <c r="B37" s="12" t="str">
        <f>IF(Petunjuk!$C$4="","",Petunjuk!$C$4)</f>
        <v>DENI GANTENG BANGET</v>
      </c>
      <c r="C37" s="9" t="s">
        <v>124</v>
      </c>
      <c r="D37" s="12"/>
      <c r="E37" s="9" t="s">
        <v>147</v>
      </c>
      <c r="F37" s="9" t="s">
        <v>137</v>
      </c>
      <c r="G37" s="9"/>
      <c r="H37" s="9" t="s">
        <v>148</v>
      </c>
      <c r="I37" s="13"/>
      <c r="J37" s="13"/>
      <c r="K37" s="13"/>
      <c r="L37" s="13"/>
      <c r="M37" s="13"/>
      <c r="N37" s="13"/>
      <c r="O37" s="13"/>
      <c r="P37" s="14"/>
      <c r="Q37" s="14"/>
      <c r="R37" s="9" t="str">
        <f t="shared" si="1"/>
        <v>Lengkapi V4-V9</v>
      </c>
    </row>
    <row r="38" spans="1:18" ht="37.5" x14ac:dyDescent="0.35">
      <c r="A38" s="12">
        <v>38</v>
      </c>
      <c r="B38" s="12" t="str">
        <f>IF(Petunjuk!$C$4="","",Petunjuk!$C$4)</f>
        <v>DENI GANTENG BANGET</v>
      </c>
      <c r="C38" s="9" t="s">
        <v>124</v>
      </c>
      <c r="D38" s="12"/>
      <c r="E38" s="9" t="s">
        <v>149</v>
      </c>
      <c r="F38" s="9" t="s">
        <v>137</v>
      </c>
      <c r="G38" s="9"/>
      <c r="H38" s="9" t="s">
        <v>150</v>
      </c>
      <c r="I38" s="13"/>
      <c r="J38" s="13"/>
      <c r="K38" s="13"/>
      <c r="L38" s="13"/>
      <c r="M38" s="13"/>
      <c r="N38" s="13"/>
      <c r="O38" s="13"/>
      <c r="P38" s="14"/>
      <c r="Q38" s="14"/>
      <c r="R38" s="9" t="str">
        <f t="shared" si="1"/>
        <v>Lengkapi V4-V9</v>
      </c>
    </row>
    <row r="39" spans="1:18" ht="62.5" x14ac:dyDescent="0.35">
      <c r="A39" s="12">
        <v>39</v>
      </c>
      <c r="B39" s="12" t="str">
        <f>IF(Petunjuk!$C$4="","",Petunjuk!$C$4)</f>
        <v>DENI GANTENG BANGET</v>
      </c>
      <c r="C39" s="9" t="s">
        <v>124</v>
      </c>
      <c r="D39" s="12"/>
      <c r="E39" s="9" t="s">
        <v>151</v>
      </c>
      <c r="F39" s="9" t="s">
        <v>137</v>
      </c>
      <c r="G39" s="9"/>
      <c r="H39" s="9" t="s">
        <v>152</v>
      </c>
      <c r="I39" s="13"/>
      <c r="J39" s="13"/>
      <c r="K39" s="13"/>
      <c r="L39" s="13"/>
      <c r="M39" s="13"/>
      <c r="N39" s="13"/>
      <c r="O39" s="13"/>
      <c r="P39" s="14"/>
      <c r="Q39" s="14"/>
      <c r="R39" s="9" t="str">
        <f t="shared" si="1"/>
        <v>Lengkapi V4-V9</v>
      </c>
    </row>
    <row r="40" spans="1:18" ht="112.5" x14ac:dyDescent="0.35">
      <c r="A40" s="12">
        <v>40</v>
      </c>
      <c r="B40" s="12" t="str">
        <f>IF(Petunjuk!$C$4="","",Petunjuk!$C$4)</f>
        <v>DENI GANTENG BANGET</v>
      </c>
      <c r="C40" s="9" t="s">
        <v>124</v>
      </c>
      <c r="D40" s="12"/>
      <c r="E40" s="9" t="s">
        <v>153</v>
      </c>
      <c r="F40" s="9" t="s">
        <v>137</v>
      </c>
      <c r="G40" s="9"/>
      <c r="H40" s="9" t="s">
        <v>154</v>
      </c>
      <c r="I40" s="13"/>
      <c r="J40" s="13"/>
      <c r="K40" s="13"/>
      <c r="L40" s="13"/>
      <c r="M40" s="13"/>
      <c r="N40" s="13"/>
      <c r="O40" s="13"/>
      <c r="P40" s="14"/>
      <c r="Q40" s="14"/>
      <c r="R40" s="9" t="str">
        <f t="shared" si="1"/>
        <v>Lengkapi V4-V9</v>
      </c>
    </row>
    <row r="41" spans="1:18" ht="37.5" x14ac:dyDescent="0.35">
      <c r="A41" s="12">
        <v>41</v>
      </c>
      <c r="B41" s="12" t="str">
        <f>IF(Petunjuk!$C$4="","",Petunjuk!$C$4)</f>
        <v>DENI GANTENG BANGET</v>
      </c>
      <c r="C41" s="9" t="s">
        <v>124</v>
      </c>
      <c r="D41" s="12"/>
      <c r="E41" s="9" t="s">
        <v>155</v>
      </c>
      <c r="F41" s="9" t="s">
        <v>137</v>
      </c>
      <c r="G41" s="9"/>
      <c r="H41" s="9" t="s">
        <v>156</v>
      </c>
      <c r="I41" s="13"/>
      <c r="J41" s="13"/>
      <c r="K41" s="13"/>
      <c r="L41" s="13"/>
      <c r="M41" s="13"/>
      <c r="N41" s="13"/>
      <c r="O41" s="13"/>
      <c r="P41" s="14"/>
      <c r="Q41" s="14"/>
      <c r="R41" s="9" t="str">
        <f t="shared" si="1"/>
        <v>Lengkapi V4-V9</v>
      </c>
    </row>
    <row r="42" spans="1:18" ht="100" x14ac:dyDescent="0.35">
      <c r="A42" s="12">
        <v>42</v>
      </c>
      <c r="B42" s="12" t="str">
        <f>IF(Petunjuk!$C$4="","",Petunjuk!$C$4)</f>
        <v>DENI GANTENG BANGET</v>
      </c>
      <c r="C42" s="9" t="s">
        <v>124</v>
      </c>
      <c r="D42" s="15" t="s">
        <v>89</v>
      </c>
      <c r="E42" s="9" t="s">
        <v>157</v>
      </c>
      <c r="F42" s="9" t="s">
        <v>137</v>
      </c>
      <c r="G42" s="9"/>
      <c r="H42" s="9" t="s">
        <v>158</v>
      </c>
      <c r="I42" s="13" t="s">
        <v>262</v>
      </c>
      <c r="J42" s="13" t="s">
        <v>295</v>
      </c>
      <c r="K42" s="13" t="s">
        <v>313</v>
      </c>
      <c r="L42" s="13" t="s">
        <v>343</v>
      </c>
      <c r="M42" s="13" t="s">
        <v>355</v>
      </c>
      <c r="N42" s="13" t="s">
        <v>373</v>
      </c>
      <c r="O42" s="13"/>
      <c r="P42" s="14"/>
      <c r="Q42" s="14"/>
      <c r="R42" s="9" t="str">
        <f t="shared" si="1"/>
        <v>OK</v>
      </c>
    </row>
    <row r="43" spans="1:18" ht="237.5" x14ac:dyDescent="0.35">
      <c r="A43" s="12">
        <v>43</v>
      </c>
      <c r="B43" s="12" t="str">
        <f>IF(Petunjuk!$C$4="","",Petunjuk!$C$4)</f>
        <v>DENI GANTENG BANGET</v>
      </c>
      <c r="C43" s="9" t="s">
        <v>124</v>
      </c>
      <c r="D43" s="12"/>
      <c r="E43" s="9" t="s">
        <v>159</v>
      </c>
      <c r="F43" s="9" t="s">
        <v>160</v>
      </c>
      <c r="G43" s="9"/>
      <c r="H43" s="9" t="s">
        <v>161</v>
      </c>
      <c r="I43" s="13"/>
      <c r="J43" s="13"/>
      <c r="K43" s="13"/>
      <c r="L43" s="13"/>
      <c r="M43" s="13"/>
      <c r="N43" s="13"/>
      <c r="O43" s="13"/>
      <c r="P43" s="14"/>
      <c r="Q43" s="14"/>
      <c r="R43" s="9" t="str">
        <f t="shared" si="1"/>
        <v>Lengkapi V4-V9</v>
      </c>
    </row>
    <row r="44" spans="1:18" ht="87.5" x14ac:dyDescent="0.35">
      <c r="A44" s="12">
        <v>44</v>
      </c>
      <c r="B44" s="12" t="str">
        <f>IF(Petunjuk!$C$4="","",Petunjuk!$C$4)</f>
        <v>DENI GANTENG BANGET</v>
      </c>
      <c r="C44" s="9" t="s">
        <v>124</v>
      </c>
      <c r="D44" s="15" t="s">
        <v>89</v>
      </c>
      <c r="E44" s="9" t="s">
        <v>162</v>
      </c>
      <c r="F44" s="9" t="s">
        <v>160</v>
      </c>
      <c r="G44" s="9"/>
      <c r="H44" s="9" t="s">
        <v>163</v>
      </c>
      <c r="I44" s="13" t="s">
        <v>262</v>
      </c>
      <c r="J44" s="13" t="s">
        <v>268</v>
      </c>
      <c r="K44" s="13" t="s">
        <v>319</v>
      </c>
      <c r="L44" s="13" t="s">
        <v>343</v>
      </c>
      <c r="M44" s="13" t="s">
        <v>355</v>
      </c>
      <c r="N44" s="13" t="s">
        <v>373</v>
      </c>
      <c r="O44" s="13"/>
      <c r="P44" s="14"/>
      <c r="Q44" s="14"/>
      <c r="R44" s="9" t="str">
        <f t="shared" si="1"/>
        <v>OK</v>
      </c>
    </row>
    <row r="45" spans="1:18" ht="87.5" x14ac:dyDescent="0.35">
      <c r="A45" s="12">
        <v>45</v>
      </c>
      <c r="B45" s="12" t="str">
        <f>IF(Petunjuk!$C$4="","",Petunjuk!$C$4)</f>
        <v>DENI GANTENG BANGET</v>
      </c>
      <c r="C45" s="9" t="s">
        <v>124</v>
      </c>
      <c r="D45" s="12"/>
      <c r="E45" s="9" t="s">
        <v>164</v>
      </c>
      <c r="F45" s="9" t="s">
        <v>160</v>
      </c>
      <c r="G45" s="9"/>
      <c r="H45" s="9" t="s">
        <v>165</v>
      </c>
      <c r="I45" s="13"/>
      <c r="J45" s="13"/>
      <c r="K45" s="13"/>
      <c r="L45" s="13"/>
      <c r="M45" s="13"/>
      <c r="N45" s="13"/>
      <c r="O45" s="13"/>
      <c r="P45" s="14"/>
      <c r="Q45" s="14"/>
      <c r="R45" s="9" t="str">
        <f t="shared" si="1"/>
        <v>Lengkapi V4-V9</v>
      </c>
    </row>
    <row r="46" spans="1:18" ht="87.5" x14ac:dyDescent="0.35">
      <c r="A46" s="12">
        <v>46</v>
      </c>
      <c r="B46" s="12" t="str">
        <f>IF(Petunjuk!$C$4="","",Petunjuk!$C$4)</f>
        <v>DENI GANTENG BANGET</v>
      </c>
      <c r="C46" s="9" t="s">
        <v>124</v>
      </c>
      <c r="D46" s="12"/>
      <c r="E46" s="9" t="s">
        <v>166</v>
      </c>
      <c r="F46" s="9" t="s">
        <v>167</v>
      </c>
      <c r="G46" s="9" t="s">
        <v>168</v>
      </c>
      <c r="H46" s="9" t="s">
        <v>169</v>
      </c>
      <c r="I46" s="13"/>
      <c r="J46" s="13"/>
      <c r="K46" s="13"/>
      <c r="L46" s="13"/>
      <c r="M46" s="13"/>
      <c r="N46" s="13"/>
      <c r="O46" s="13"/>
      <c r="P46" s="14"/>
      <c r="Q46" s="14"/>
      <c r="R46" s="9" t="str">
        <f t="shared" si="1"/>
        <v>Lengkapi V4-V9</v>
      </c>
    </row>
    <row r="47" spans="1:18" ht="162.5" x14ac:dyDescent="0.35">
      <c r="A47" s="12">
        <v>47</v>
      </c>
      <c r="B47" s="12" t="str">
        <f>IF(Petunjuk!$C$4="","",Petunjuk!$C$4)</f>
        <v>DENI GANTENG BANGET</v>
      </c>
      <c r="C47" s="9" t="s">
        <v>124</v>
      </c>
      <c r="D47" s="12"/>
      <c r="E47" s="9" t="s">
        <v>170</v>
      </c>
      <c r="F47" s="9" t="s">
        <v>167</v>
      </c>
      <c r="G47" s="9" t="s">
        <v>171</v>
      </c>
      <c r="H47" s="9" t="s">
        <v>172</v>
      </c>
      <c r="I47" s="13"/>
      <c r="J47" s="13"/>
      <c r="K47" s="13"/>
      <c r="L47" s="13"/>
      <c r="M47" s="13"/>
      <c r="N47" s="13"/>
      <c r="O47" s="13"/>
      <c r="P47" s="14"/>
      <c r="Q47" s="14"/>
      <c r="R47" s="9" t="str">
        <f t="shared" si="1"/>
        <v>Lengkapi V4-V9</v>
      </c>
    </row>
    <row r="48" spans="1:18" ht="100" x14ac:dyDescent="0.35">
      <c r="A48" s="12">
        <v>48</v>
      </c>
      <c r="B48" s="12" t="str">
        <f>IF(Petunjuk!$C$4="","",Petunjuk!$C$4)</f>
        <v>DENI GANTENG BANGET</v>
      </c>
      <c r="C48" s="9" t="s">
        <v>124</v>
      </c>
      <c r="D48" s="12"/>
      <c r="E48" s="9" t="s">
        <v>173</v>
      </c>
      <c r="F48" s="9" t="s">
        <v>167</v>
      </c>
      <c r="G48" s="9" t="s">
        <v>171</v>
      </c>
      <c r="H48" s="9" t="s">
        <v>174</v>
      </c>
      <c r="I48" s="13"/>
      <c r="J48" s="13"/>
      <c r="K48" s="13"/>
      <c r="L48" s="13"/>
      <c r="M48" s="13"/>
      <c r="N48" s="13"/>
      <c r="O48" s="13"/>
      <c r="P48" s="14"/>
      <c r="Q48" s="14"/>
      <c r="R48" s="9" t="str">
        <f t="shared" si="1"/>
        <v>Lengkapi V4-V9</v>
      </c>
    </row>
    <row r="49" spans="1:18" ht="112.5" x14ac:dyDescent="0.35">
      <c r="A49" s="12">
        <v>49</v>
      </c>
      <c r="B49" s="12" t="str">
        <f>IF(Petunjuk!$C$4="","",Petunjuk!$C$4)</f>
        <v>DENI GANTENG BANGET</v>
      </c>
      <c r="C49" s="9" t="s">
        <v>124</v>
      </c>
      <c r="D49" s="12"/>
      <c r="E49" s="9" t="s">
        <v>175</v>
      </c>
      <c r="F49" s="9" t="s">
        <v>167</v>
      </c>
      <c r="G49" s="9" t="s">
        <v>171</v>
      </c>
      <c r="H49" s="9" t="s">
        <v>176</v>
      </c>
      <c r="I49" s="13"/>
      <c r="J49" s="13"/>
      <c r="K49" s="13"/>
      <c r="L49" s="13"/>
      <c r="M49" s="13"/>
      <c r="N49" s="13"/>
      <c r="O49" s="13"/>
      <c r="P49" s="14"/>
      <c r="Q49" s="14"/>
      <c r="R49" s="9" t="str">
        <f t="shared" si="1"/>
        <v>Lengkapi V4-V9</v>
      </c>
    </row>
    <row r="50" spans="1:18" ht="87.5" x14ac:dyDescent="0.35">
      <c r="A50" s="12">
        <v>50</v>
      </c>
      <c r="B50" s="12" t="str">
        <f>IF(Petunjuk!$C$4="","",Petunjuk!$C$4)</f>
        <v>DENI GANTENG BANGET</v>
      </c>
      <c r="C50" s="9" t="s">
        <v>124</v>
      </c>
      <c r="D50" s="12"/>
      <c r="E50" s="9" t="s">
        <v>177</v>
      </c>
      <c r="F50" s="9" t="s">
        <v>167</v>
      </c>
      <c r="G50" s="9" t="s">
        <v>171</v>
      </c>
      <c r="H50" s="9" t="s">
        <v>178</v>
      </c>
      <c r="I50" s="13"/>
      <c r="J50" s="13"/>
      <c r="K50" s="13"/>
      <c r="L50" s="13"/>
      <c r="M50" s="13"/>
      <c r="N50" s="13"/>
      <c r="O50" s="13"/>
      <c r="P50" s="14"/>
      <c r="Q50" s="14"/>
      <c r="R50" s="9" t="str">
        <f t="shared" si="1"/>
        <v>Lengkapi V4-V9</v>
      </c>
    </row>
    <row r="51" spans="1:18" ht="87.5" x14ac:dyDescent="0.35">
      <c r="A51" s="12">
        <v>51</v>
      </c>
      <c r="B51" s="12" t="str">
        <f>IF(Petunjuk!$C$4="","",Petunjuk!$C$4)</f>
        <v>DENI GANTENG BANGET</v>
      </c>
      <c r="C51" s="9" t="s">
        <v>124</v>
      </c>
      <c r="D51" s="12"/>
      <c r="E51" s="9" t="s">
        <v>179</v>
      </c>
      <c r="F51" s="9" t="s">
        <v>167</v>
      </c>
      <c r="G51" s="9" t="s">
        <v>171</v>
      </c>
      <c r="H51" s="9" t="s">
        <v>180</v>
      </c>
      <c r="I51" s="13"/>
      <c r="J51" s="13"/>
      <c r="K51" s="13"/>
      <c r="L51" s="13"/>
      <c r="M51" s="13"/>
      <c r="N51" s="13"/>
      <c r="O51" s="13"/>
      <c r="P51" s="14"/>
      <c r="Q51" s="14"/>
      <c r="R51" s="9" t="str">
        <f t="shared" si="1"/>
        <v>Lengkapi V4-V9</v>
      </c>
    </row>
    <row r="52" spans="1:18" ht="87.5" x14ac:dyDescent="0.35">
      <c r="A52" s="12">
        <v>52</v>
      </c>
      <c r="B52" s="12" t="str">
        <f>IF(Petunjuk!$C$4="","",Petunjuk!$C$4)</f>
        <v>DENI GANTENG BANGET</v>
      </c>
      <c r="C52" s="9" t="s">
        <v>124</v>
      </c>
      <c r="D52" s="15" t="s">
        <v>89</v>
      </c>
      <c r="E52" s="9" t="s">
        <v>181</v>
      </c>
      <c r="F52" s="9" t="s">
        <v>167</v>
      </c>
      <c r="G52" s="9" t="s">
        <v>171</v>
      </c>
      <c r="H52" s="9" t="s">
        <v>182</v>
      </c>
      <c r="I52" s="13" t="s">
        <v>31</v>
      </c>
      <c r="J52" s="13" t="s">
        <v>280</v>
      </c>
      <c r="K52" s="13" t="s">
        <v>35</v>
      </c>
      <c r="L52" s="13" t="s">
        <v>337</v>
      </c>
      <c r="M52" s="13" t="s">
        <v>362</v>
      </c>
      <c r="N52" s="13" t="s">
        <v>369</v>
      </c>
      <c r="O52" s="13"/>
      <c r="P52" s="14"/>
      <c r="Q52" s="14"/>
      <c r="R52" s="9" t="str">
        <f t="shared" si="1"/>
        <v>OK</v>
      </c>
    </row>
    <row r="53" spans="1:18" ht="87.5" x14ac:dyDescent="0.35">
      <c r="A53" s="12">
        <v>53</v>
      </c>
      <c r="B53" s="12" t="str">
        <f>IF(Petunjuk!$C$4="","",Petunjuk!$C$4)</f>
        <v>DENI GANTENG BANGET</v>
      </c>
      <c r="C53" s="9" t="s">
        <v>124</v>
      </c>
      <c r="D53" s="12"/>
      <c r="E53" s="9" t="s">
        <v>183</v>
      </c>
      <c r="F53" s="9" t="s">
        <v>167</v>
      </c>
      <c r="G53" s="9" t="s">
        <v>171</v>
      </c>
      <c r="H53" s="9" t="s">
        <v>184</v>
      </c>
      <c r="I53" s="13"/>
      <c r="J53" s="13"/>
      <c r="K53" s="13"/>
      <c r="L53" s="13"/>
      <c r="M53" s="13"/>
      <c r="N53" s="13"/>
      <c r="O53" s="13"/>
      <c r="P53" s="14"/>
      <c r="Q53" s="14"/>
      <c r="R53" s="9" t="str">
        <f t="shared" si="1"/>
        <v>Lengkapi V4-V9</v>
      </c>
    </row>
    <row r="54" spans="1:18" ht="87.5" x14ac:dyDescent="0.35">
      <c r="A54" s="12">
        <v>54</v>
      </c>
      <c r="B54" s="12" t="str">
        <f>IF(Petunjuk!$C$4="","",Petunjuk!$C$4)</f>
        <v>DENI GANTENG BANGET</v>
      </c>
      <c r="C54" s="9" t="s">
        <v>124</v>
      </c>
      <c r="D54" s="15" t="s">
        <v>89</v>
      </c>
      <c r="E54" s="9" t="s">
        <v>120</v>
      </c>
      <c r="F54" s="9" t="s">
        <v>167</v>
      </c>
      <c r="G54" s="9" t="s">
        <v>171</v>
      </c>
      <c r="H54" s="9" t="s">
        <v>185</v>
      </c>
      <c r="I54" s="13" t="s">
        <v>31</v>
      </c>
      <c r="J54" s="13" t="s">
        <v>270</v>
      </c>
      <c r="K54" s="13" t="s">
        <v>35</v>
      </c>
      <c r="L54" s="13" t="s">
        <v>37</v>
      </c>
      <c r="M54" s="13" t="s">
        <v>355</v>
      </c>
      <c r="N54" s="13" t="s">
        <v>371</v>
      </c>
      <c r="O54" s="13"/>
      <c r="P54" s="14"/>
      <c r="Q54" s="14"/>
      <c r="R54" s="9" t="str">
        <f t="shared" si="1"/>
        <v>OK</v>
      </c>
    </row>
    <row r="55" spans="1:18" ht="87.5" x14ac:dyDescent="0.35">
      <c r="A55" s="12">
        <v>55</v>
      </c>
      <c r="B55" s="12" t="str">
        <f>IF(Petunjuk!$C$4="","",Petunjuk!$C$4)</f>
        <v>DENI GANTENG BANGET</v>
      </c>
      <c r="C55" s="9" t="s">
        <v>124</v>
      </c>
      <c r="D55" s="12"/>
      <c r="E55" s="9" t="s">
        <v>186</v>
      </c>
      <c r="F55" s="9" t="s">
        <v>167</v>
      </c>
      <c r="G55" s="9" t="s">
        <v>171</v>
      </c>
      <c r="H55" s="9" t="s">
        <v>187</v>
      </c>
      <c r="I55" s="13"/>
      <c r="J55" s="13"/>
      <c r="K55" s="13"/>
      <c r="L55" s="13"/>
      <c r="M55" s="13"/>
      <c r="N55" s="13"/>
      <c r="O55" s="13"/>
      <c r="P55" s="14"/>
      <c r="Q55" s="14"/>
      <c r="R55" s="9" t="str">
        <f t="shared" si="1"/>
        <v>Lengkapi V4-V9</v>
      </c>
    </row>
    <row r="56" spans="1:18" ht="87.5" x14ac:dyDescent="0.35">
      <c r="A56" s="12">
        <v>56</v>
      </c>
      <c r="B56" s="12" t="str">
        <f>IF(Petunjuk!$C$4="","",Petunjuk!$C$4)</f>
        <v>DENI GANTENG BANGET</v>
      </c>
      <c r="C56" s="9" t="s">
        <v>124</v>
      </c>
      <c r="D56" s="15" t="s">
        <v>89</v>
      </c>
      <c r="E56" s="9" t="s">
        <v>188</v>
      </c>
      <c r="F56" s="9" t="s">
        <v>167</v>
      </c>
      <c r="G56" s="9" t="s">
        <v>171</v>
      </c>
      <c r="H56" s="9" t="s">
        <v>189</v>
      </c>
      <c r="I56" s="13" t="s">
        <v>31</v>
      </c>
      <c r="J56" s="13" t="s">
        <v>278</v>
      </c>
      <c r="K56" s="13" t="s">
        <v>35</v>
      </c>
      <c r="L56" s="13" t="s">
        <v>37</v>
      </c>
      <c r="M56" s="13" t="s">
        <v>353</v>
      </c>
      <c r="N56" s="13" t="s">
        <v>41</v>
      </c>
      <c r="O56" s="13"/>
      <c r="P56" s="14"/>
      <c r="Q56" s="14"/>
      <c r="R56" s="9" t="str">
        <f t="shared" si="1"/>
        <v>OK</v>
      </c>
    </row>
    <row r="57" spans="1:18" ht="87.5" x14ac:dyDescent="0.35">
      <c r="A57" s="12">
        <v>57</v>
      </c>
      <c r="B57" s="12" t="str">
        <f>IF(Petunjuk!$C$4="","",Petunjuk!$C$4)</f>
        <v>DENI GANTENG BANGET</v>
      </c>
      <c r="C57" s="9" t="s">
        <v>124</v>
      </c>
      <c r="D57" s="12"/>
      <c r="E57" s="9" t="s">
        <v>190</v>
      </c>
      <c r="F57" s="9" t="s">
        <v>167</v>
      </c>
      <c r="G57" s="9" t="s">
        <v>171</v>
      </c>
      <c r="H57" s="9" t="s">
        <v>191</v>
      </c>
      <c r="I57" s="13"/>
      <c r="J57" s="13"/>
      <c r="K57" s="13"/>
      <c r="L57" s="13"/>
      <c r="M57" s="13"/>
      <c r="N57" s="13"/>
      <c r="O57" s="13"/>
      <c r="P57" s="14"/>
      <c r="Q57" s="14"/>
      <c r="R57" s="9" t="str">
        <f t="shared" si="1"/>
        <v>Lengkapi V4-V9</v>
      </c>
    </row>
    <row r="58" spans="1:18" ht="87.5" x14ac:dyDescent="0.35">
      <c r="A58" s="12">
        <v>58</v>
      </c>
      <c r="B58" s="12" t="str">
        <f>IF(Petunjuk!$C$4="","",Petunjuk!$C$4)</f>
        <v>DENI GANTENG BANGET</v>
      </c>
      <c r="C58" s="9" t="s">
        <v>124</v>
      </c>
      <c r="D58" s="12"/>
      <c r="E58" s="9" t="s">
        <v>192</v>
      </c>
      <c r="F58" s="9" t="s">
        <v>167</v>
      </c>
      <c r="G58" s="9" t="s">
        <v>171</v>
      </c>
      <c r="H58" s="9" t="s">
        <v>193</v>
      </c>
      <c r="I58" s="13"/>
      <c r="J58" s="13"/>
      <c r="K58" s="13"/>
      <c r="L58" s="13"/>
      <c r="M58" s="13"/>
      <c r="N58" s="13"/>
      <c r="O58" s="13"/>
      <c r="P58" s="14"/>
      <c r="Q58" s="14"/>
      <c r="R58" s="9" t="str">
        <f t="shared" si="1"/>
        <v>Lengkapi V4-V9</v>
      </c>
    </row>
    <row r="59" spans="1:18" ht="87.5" x14ac:dyDescent="0.35">
      <c r="A59" s="12">
        <v>59</v>
      </c>
      <c r="B59" s="12" t="str">
        <f>IF(Petunjuk!$C$4="","",Petunjuk!$C$4)</f>
        <v>DENI GANTENG BANGET</v>
      </c>
      <c r="C59" s="9" t="s">
        <v>124</v>
      </c>
      <c r="D59" s="12"/>
      <c r="E59" s="9" t="s">
        <v>194</v>
      </c>
      <c r="F59" s="9" t="s">
        <v>167</v>
      </c>
      <c r="G59" s="9" t="s">
        <v>171</v>
      </c>
      <c r="H59" s="9" t="s">
        <v>195</v>
      </c>
      <c r="I59" s="13"/>
      <c r="J59" s="13"/>
      <c r="K59" s="13"/>
      <c r="L59" s="13"/>
      <c r="M59" s="13"/>
      <c r="N59" s="13"/>
      <c r="O59" s="13"/>
      <c r="P59" s="14"/>
      <c r="Q59" s="14"/>
      <c r="R59" s="9" t="str">
        <f t="shared" si="1"/>
        <v>Lengkapi V4-V9</v>
      </c>
    </row>
    <row r="60" spans="1:18" ht="87.5" x14ac:dyDescent="0.35">
      <c r="A60" s="12">
        <v>60</v>
      </c>
      <c r="B60" s="12" t="str">
        <f>IF(Petunjuk!$C$4="","",Petunjuk!$C$4)</f>
        <v>DENI GANTENG BANGET</v>
      </c>
      <c r="C60" s="9" t="s">
        <v>124</v>
      </c>
      <c r="D60" s="12"/>
      <c r="E60" s="9" t="s">
        <v>196</v>
      </c>
      <c r="F60" s="9" t="s">
        <v>167</v>
      </c>
      <c r="G60" s="9" t="s">
        <v>171</v>
      </c>
      <c r="H60" s="9" t="s">
        <v>197</v>
      </c>
      <c r="I60" s="13"/>
      <c r="J60" s="13"/>
      <c r="K60" s="13"/>
      <c r="L60" s="13"/>
      <c r="M60" s="13"/>
      <c r="N60" s="13"/>
      <c r="O60" s="13"/>
      <c r="P60" s="14"/>
      <c r="Q60" s="14"/>
      <c r="R60" s="9" t="str">
        <f t="shared" si="1"/>
        <v>Lengkapi V4-V9</v>
      </c>
    </row>
    <row r="61" spans="1:18" ht="150" x14ac:dyDescent="0.35">
      <c r="A61" s="12">
        <v>61</v>
      </c>
      <c r="B61" s="12" t="str">
        <f>IF(Petunjuk!$C$4="","",Petunjuk!$C$4)</f>
        <v>DENI GANTENG BANGET</v>
      </c>
      <c r="C61" s="9" t="s">
        <v>124</v>
      </c>
      <c r="D61" s="12"/>
      <c r="E61" s="9" t="s">
        <v>198</v>
      </c>
      <c r="F61" s="9" t="s">
        <v>167</v>
      </c>
      <c r="G61" s="9" t="s">
        <v>199</v>
      </c>
      <c r="H61" s="9" t="s">
        <v>200</v>
      </c>
      <c r="I61" s="13"/>
      <c r="J61" s="13"/>
      <c r="K61" s="13"/>
      <c r="L61" s="13"/>
      <c r="M61" s="13"/>
      <c r="N61" s="13"/>
      <c r="O61" s="13"/>
      <c r="P61" s="14"/>
      <c r="Q61" s="14"/>
      <c r="R61" s="9" t="str">
        <f t="shared" si="1"/>
        <v>Lengkapi V4-V9</v>
      </c>
    </row>
    <row r="62" spans="1:18" ht="87.5" x14ac:dyDescent="0.35">
      <c r="A62" s="12">
        <v>62</v>
      </c>
      <c r="B62" s="12" t="str">
        <f>IF(Petunjuk!$C$4="","",Petunjuk!$C$4)</f>
        <v>DENI GANTENG BANGET</v>
      </c>
      <c r="C62" s="9" t="s">
        <v>124</v>
      </c>
      <c r="D62" s="12"/>
      <c r="E62" s="9" t="s">
        <v>201</v>
      </c>
      <c r="F62" s="9" t="s">
        <v>167</v>
      </c>
      <c r="G62" s="9" t="s">
        <v>199</v>
      </c>
      <c r="H62" s="9" t="s">
        <v>202</v>
      </c>
      <c r="I62" s="13"/>
      <c r="J62" s="13"/>
      <c r="K62" s="13"/>
      <c r="L62" s="13"/>
      <c r="M62" s="13"/>
      <c r="N62" s="13"/>
      <c r="O62" s="13"/>
      <c r="P62" s="14"/>
      <c r="Q62" s="14"/>
      <c r="R62" s="9" t="str">
        <f t="shared" si="1"/>
        <v>Lengkapi V4-V9</v>
      </c>
    </row>
    <row r="63" spans="1:18" ht="87.5" x14ac:dyDescent="0.35">
      <c r="A63" s="12">
        <v>63</v>
      </c>
      <c r="B63" s="12" t="str">
        <f>IF(Petunjuk!$C$4="","",Petunjuk!$C$4)</f>
        <v>DENI GANTENG BANGET</v>
      </c>
      <c r="C63" s="9" t="s">
        <v>124</v>
      </c>
      <c r="D63" s="12"/>
      <c r="E63" s="9" t="s">
        <v>203</v>
      </c>
      <c r="F63" s="9" t="s">
        <v>167</v>
      </c>
      <c r="G63" s="9" t="s">
        <v>199</v>
      </c>
      <c r="H63" s="9" t="s">
        <v>204</v>
      </c>
      <c r="I63" s="13"/>
      <c r="J63" s="13"/>
      <c r="K63" s="13"/>
      <c r="L63" s="13"/>
      <c r="M63" s="13"/>
      <c r="N63" s="13"/>
      <c r="O63" s="13"/>
      <c r="P63" s="14"/>
      <c r="Q63" s="14"/>
      <c r="R63" s="9" t="str">
        <f t="shared" si="1"/>
        <v>Lengkapi V4-V9</v>
      </c>
    </row>
    <row r="64" spans="1:18" ht="87.5" x14ac:dyDescent="0.35">
      <c r="A64" s="12">
        <v>64</v>
      </c>
      <c r="B64" s="12" t="str">
        <f>IF(Petunjuk!$C$4="","",Petunjuk!$C$4)</f>
        <v>DENI GANTENG BANGET</v>
      </c>
      <c r="C64" s="9" t="s">
        <v>124</v>
      </c>
      <c r="D64" s="12"/>
      <c r="E64" s="9" t="s">
        <v>205</v>
      </c>
      <c r="F64" s="9" t="s">
        <v>167</v>
      </c>
      <c r="G64" s="9" t="s">
        <v>199</v>
      </c>
      <c r="H64" s="9" t="s">
        <v>206</v>
      </c>
      <c r="I64" s="13"/>
      <c r="J64" s="13"/>
      <c r="K64" s="13"/>
      <c r="L64" s="13"/>
      <c r="M64" s="13"/>
      <c r="N64" s="13"/>
      <c r="O64" s="13"/>
      <c r="P64" s="14"/>
      <c r="Q64" s="14"/>
      <c r="R64" s="9" t="str">
        <f t="shared" si="1"/>
        <v>Lengkapi V4-V9</v>
      </c>
    </row>
    <row r="65" spans="1:18" ht="87.5" x14ac:dyDescent="0.35">
      <c r="A65" s="12">
        <v>65</v>
      </c>
      <c r="B65" s="12" t="str">
        <f>IF(Petunjuk!$C$4="","",Petunjuk!$C$4)</f>
        <v>DENI GANTENG BANGET</v>
      </c>
      <c r="C65" s="9" t="s">
        <v>124</v>
      </c>
      <c r="D65" s="12"/>
      <c r="E65" s="9" t="s">
        <v>207</v>
      </c>
      <c r="F65" s="9" t="s">
        <v>167</v>
      </c>
      <c r="G65" s="9" t="s">
        <v>199</v>
      </c>
      <c r="H65" s="9" t="s">
        <v>208</v>
      </c>
      <c r="I65" s="13"/>
      <c r="J65" s="13"/>
      <c r="K65" s="13"/>
      <c r="L65" s="13"/>
      <c r="M65" s="13"/>
      <c r="N65" s="13"/>
      <c r="O65" s="13"/>
      <c r="P65" s="14"/>
      <c r="Q65" s="14"/>
      <c r="R65" s="9" t="str">
        <f t="shared" si="1"/>
        <v>Lengkapi V4-V9</v>
      </c>
    </row>
    <row r="66" spans="1:18" ht="87.5" x14ac:dyDescent="0.35">
      <c r="A66" s="12">
        <v>66</v>
      </c>
      <c r="B66" s="12" t="str">
        <f>IF(Petunjuk!$C$4="","",Petunjuk!$C$4)</f>
        <v>DENI GANTENG BANGET</v>
      </c>
      <c r="C66" s="9" t="s">
        <v>124</v>
      </c>
      <c r="D66" s="12"/>
      <c r="E66" s="9" t="s">
        <v>209</v>
      </c>
      <c r="F66" s="9" t="s">
        <v>167</v>
      </c>
      <c r="G66" s="9" t="s">
        <v>199</v>
      </c>
      <c r="H66" s="9" t="s">
        <v>210</v>
      </c>
      <c r="I66" s="13"/>
      <c r="J66" s="13"/>
      <c r="K66" s="13"/>
      <c r="L66" s="13"/>
      <c r="M66" s="13"/>
      <c r="N66" s="13"/>
      <c r="O66" s="13"/>
      <c r="P66" s="14"/>
      <c r="Q66" s="14"/>
      <c r="R66" s="9" t="str">
        <f t="shared" ref="R66:R86" si="2">IF(COUNTA(I66:N66)&lt;6,"Lengkapi V4-V9",IF(AND(I66="R0",N66&lt;&gt;"K5"),"R0 harus berpasangan dengan K5",IF(AND(I66="R1",N66&lt;&gt;"K4",N66&lt;&gt;"K5"),"R1 hanya dengan K4 atau K5",IF(AND(I66="R2",N66="K5"),"R2 tidak boleh K5",IF(AND(K66="P9",J66&lt;&gt;"T17"),"P9 hanya dengan T17",IF(AND(J66="T01",K66&lt;&gt;"P6",Q66=""),"Periksa T01-P6: jelaskan di V12",IF(AND(K66="P1",N66&lt;&gt;"K4",Q66=""),"Periksa P1-K4: jelaskan di V12",IF(AND(J66="T99",Q66=""),"Periksa T99: wajib isi V12","OK"))))))))</f>
        <v>Lengkapi V4-V9</v>
      </c>
    </row>
    <row r="67" spans="1:18" ht="87.5" x14ac:dyDescent="0.35">
      <c r="A67" s="12">
        <v>67</v>
      </c>
      <c r="B67" s="12" t="str">
        <f>IF(Petunjuk!$C$4="","",Petunjuk!$C$4)</f>
        <v>DENI GANTENG BANGET</v>
      </c>
      <c r="C67" s="9" t="s">
        <v>124</v>
      </c>
      <c r="D67" s="12"/>
      <c r="E67" s="9" t="s">
        <v>211</v>
      </c>
      <c r="F67" s="9" t="s">
        <v>167</v>
      </c>
      <c r="G67" s="9" t="s">
        <v>199</v>
      </c>
      <c r="H67" s="9" t="s">
        <v>212</v>
      </c>
      <c r="I67" s="13"/>
      <c r="J67" s="13"/>
      <c r="K67" s="13"/>
      <c r="L67" s="13"/>
      <c r="M67" s="13"/>
      <c r="N67" s="13"/>
      <c r="O67" s="13"/>
      <c r="P67" s="14"/>
      <c r="Q67" s="14"/>
      <c r="R67" s="9" t="str">
        <f t="shared" si="2"/>
        <v>Lengkapi V4-V9</v>
      </c>
    </row>
    <row r="68" spans="1:18" ht="137.5" x14ac:dyDescent="0.35">
      <c r="A68" s="12">
        <v>68</v>
      </c>
      <c r="B68" s="12" t="str">
        <f>IF(Petunjuk!$C$4="","",Petunjuk!$C$4)</f>
        <v>DENI GANTENG BANGET</v>
      </c>
      <c r="C68" s="9" t="s">
        <v>124</v>
      </c>
      <c r="D68" s="12"/>
      <c r="E68" s="9" t="s">
        <v>213</v>
      </c>
      <c r="F68" s="9" t="s">
        <v>167</v>
      </c>
      <c r="G68" s="9" t="s">
        <v>199</v>
      </c>
      <c r="H68" s="9" t="s">
        <v>214</v>
      </c>
      <c r="I68" s="13"/>
      <c r="J68" s="13"/>
      <c r="K68" s="13"/>
      <c r="L68" s="13"/>
      <c r="M68" s="13"/>
      <c r="N68" s="13"/>
      <c r="O68" s="13"/>
      <c r="P68" s="14"/>
      <c r="Q68" s="14"/>
      <c r="R68" s="9" t="str">
        <f t="shared" si="2"/>
        <v>Lengkapi V4-V9</v>
      </c>
    </row>
    <row r="69" spans="1:18" ht="87.5" x14ac:dyDescent="0.35">
      <c r="A69" s="12">
        <v>69</v>
      </c>
      <c r="B69" s="12" t="str">
        <f>IF(Petunjuk!$C$4="","",Petunjuk!$C$4)</f>
        <v>DENI GANTENG BANGET</v>
      </c>
      <c r="C69" s="9" t="s">
        <v>124</v>
      </c>
      <c r="D69" s="12"/>
      <c r="E69" s="9" t="s">
        <v>215</v>
      </c>
      <c r="F69" s="9" t="s">
        <v>167</v>
      </c>
      <c r="G69" s="9" t="s">
        <v>199</v>
      </c>
      <c r="H69" s="9" t="s">
        <v>216</v>
      </c>
      <c r="I69" s="13"/>
      <c r="J69" s="13"/>
      <c r="K69" s="13"/>
      <c r="L69" s="13"/>
      <c r="M69" s="13"/>
      <c r="N69" s="13"/>
      <c r="O69" s="13"/>
      <c r="P69" s="14"/>
      <c r="Q69" s="14"/>
      <c r="R69" s="9" t="str">
        <f t="shared" si="2"/>
        <v>Lengkapi V4-V9</v>
      </c>
    </row>
    <row r="70" spans="1:18" ht="87.5" x14ac:dyDescent="0.35">
      <c r="A70" s="12">
        <v>70</v>
      </c>
      <c r="B70" s="12" t="str">
        <f>IF(Petunjuk!$C$4="","",Petunjuk!$C$4)</f>
        <v>DENI GANTENG BANGET</v>
      </c>
      <c r="C70" s="9" t="s">
        <v>124</v>
      </c>
      <c r="D70" s="15" t="s">
        <v>89</v>
      </c>
      <c r="E70" s="9" t="s">
        <v>217</v>
      </c>
      <c r="F70" s="9" t="s">
        <v>167</v>
      </c>
      <c r="G70" s="9" t="s">
        <v>199</v>
      </c>
      <c r="H70" s="9" t="s">
        <v>218</v>
      </c>
      <c r="I70" s="13" t="s">
        <v>31</v>
      </c>
      <c r="J70" s="13" t="s">
        <v>33</v>
      </c>
      <c r="K70" s="13" t="s">
        <v>35</v>
      </c>
      <c r="L70" s="13" t="s">
        <v>37</v>
      </c>
      <c r="M70" s="13" t="s">
        <v>39</v>
      </c>
      <c r="N70" s="13" t="s">
        <v>369</v>
      </c>
      <c r="O70" s="13"/>
      <c r="P70" s="14"/>
      <c r="Q70" s="14"/>
      <c r="R70" s="9" t="str">
        <f t="shared" si="2"/>
        <v>OK</v>
      </c>
    </row>
    <row r="71" spans="1:18" ht="87.5" x14ac:dyDescent="0.35">
      <c r="A71" s="12">
        <v>71</v>
      </c>
      <c r="B71" s="12" t="str">
        <f>IF(Petunjuk!$C$4="","",Petunjuk!$C$4)</f>
        <v>DENI GANTENG BANGET</v>
      </c>
      <c r="C71" s="9" t="s">
        <v>124</v>
      </c>
      <c r="D71" s="12"/>
      <c r="E71" s="9" t="s">
        <v>219</v>
      </c>
      <c r="F71" s="9" t="s">
        <v>167</v>
      </c>
      <c r="G71" s="9" t="s">
        <v>199</v>
      </c>
      <c r="H71" s="9" t="s">
        <v>220</v>
      </c>
      <c r="I71" s="13"/>
      <c r="J71" s="13"/>
      <c r="K71" s="13"/>
      <c r="L71" s="13"/>
      <c r="M71" s="13"/>
      <c r="N71" s="13"/>
      <c r="O71" s="13"/>
      <c r="P71" s="14"/>
      <c r="Q71" s="14"/>
      <c r="R71" s="9" t="str">
        <f t="shared" si="2"/>
        <v>Lengkapi V4-V9</v>
      </c>
    </row>
    <row r="72" spans="1:18" ht="87.5" x14ac:dyDescent="0.35">
      <c r="A72" s="12">
        <v>72</v>
      </c>
      <c r="B72" s="12" t="str">
        <f>IF(Petunjuk!$C$4="","",Petunjuk!$C$4)</f>
        <v>DENI GANTENG BANGET</v>
      </c>
      <c r="C72" s="9" t="s">
        <v>124</v>
      </c>
      <c r="D72" s="12"/>
      <c r="E72" s="9" t="s">
        <v>221</v>
      </c>
      <c r="F72" s="9" t="s">
        <v>167</v>
      </c>
      <c r="G72" s="9" t="s">
        <v>199</v>
      </c>
      <c r="H72" s="9" t="s">
        <v>222</v>
      </c>
      <c r="I72" s="13"/>
      <c r="J72" s="13"/>
      <c r="K72" s="13"/>
      <c r="L72" s="13"/>
      <c r="M72" s="13"/>
      <c r="N72" s="13"/>
      <c r="O72" s="13"/>
      <c r="P72" s="14"/>
      <c r="Q72" s="14"/>
      <c r="R72" s="9" t="str">
        <f t="shared" si="2"/>
        <v>Lengkapi V4-V9</v>
      </c>
    </row>
    <row r="73" spans="1:18" ht="100" x14ac:dyDescent="0.35">
      <c r="A73" s="12">
        <v>73</v>
      </c>
      <c r="B73" s="12" t="str">
        <f>IF(Petunjuk!$C$4="","",Petunjuk!$C$4)</f>
        <v>DENI GANTENG BANGET</v>
      </c>
      <c r="C73" s="9" t="s">
        <v>124</v>
      </c>
      <c r="D73" s="12"/>
      <c r="E73" s="9" t="s">
        <v>223</v>
      </c>
      <c r="F73" s="9" t="s">
        <v>167</v>
      </c>
      <c r="G73" s="9" t="s">
        <v>199</v>
      </c>
      <c r="H73" s="9" t="s">
        <v>224</v>
      </c>
      <c r="I73" s="13"/>
      <c r="J73" s="13"/>
      <c r="K73" s="13"/>
      <c r="L73" s="13"/>
      <c r="M73" s="13"/>
      <c r="N73" s="13"/>
      <c r="O73" s="13"/>
      <c r="P73" s="14"/>
      <c r="Q73" s="14"/>
      <c r="R73" s="9" t="str">
        <f t="shared" si="2"/>
        <v>Lengkapi V4-V9</v>
      </c>
    </row>
    <row r="74" spans="1:18" ht="87.5" x14ac:dyDescent="0.35">
      <c r="A74" s="12">
        <v>74</v>
      </c>
      <c r="B74" s="12" t="str">
        <f>IF(Petunjuk!$C$4="","",Petunjuk!$C$4)</f>
        <v>DENI GANTENG BANGET</v>
      </c>
      <c r="C74" s="9" t="s">
        <v>124</v>
      </c>
      <c r="D74" s="12"/>
      <c r="E74" s="9" t="s">
        <v>225</v>
      </c>
      <c r="F74" s="9" t="s">
        <v>167</v>
      </c>
      <c r="G74" s="9" t="s">
        <v>199</v>
      </c>
      <c r="H74" s="9" t="s">
        <v>226</v>
      </c>
      <c r="I74" s="13"/>
      <c r="J74" s="13"/>
      <c r="K74" s="13"/>
      <c r="L74" s="13"/>
      <c r="M74" s="13"/>
      <c r="N74" s="13"/>
      <c r="O74" s="13"/>
      <c r="P74" s="14"/>
      <c r="Q74" s="14"/>
      <c r="R74" s="9" t="str">
        <f t="shared" si="2"/>
        <v>Lengkapi V4-V9</v>
      </c>
    </row>
    <row r="75" spans="1:18" ht="150" x14ac:dyDescent="0.35">
      <c r="A75" s="12">
        <v>75</v>
      </c>
      <c r="B75" s="12" t="str">
        <f>IF(Petunjuk!$C$4="","",Petunjuk!$C$4)</f>
        <v>DENI GANTENG BANGET</v>
      </c>
      <c r="C75" s="9" t="s">
        <v>124</v>
      </c>
      <c r="D75" s="12"/>
      <c r="E75" s="9" t="s">
        <v>227</v>
      </c>
      <c r="F75" s="9" t="s">
        <v>167</v>
      </c>
      <c r="G75" s="9" t="s">
        <v>199</v>
      </c>
      <c r="H75" s="9" t="s">
        <v>228</v>
      </c>
      <c r="I75" s="13"/>
      <c r="J75" s="13"/>
      <c r="K75" s="13"/>
      <c r="L75" s="13"/>
      <c r="M75" s="13"/>
      <c r="N75" s="13"/>
      <c r="O75" s="13"/>
      <c r="P75" s="14"/>
      <c r="Q75" s="14"/>
      <c r="R75" s="9" t="str">
        <f t="shared" si="2"/>
        <v>Lengkapi V4-V9</v>
      </c>
    </row>
    <row r="76" spans="1:18" ht="87.5" x14ac:dyDescent="0.35">
      <c r="A76" s="12">
        <v>76</v>
      </c>
      <c r="B76" s="12" t="str">
        <f>IF(Petunjuk!$C$4="","",Petunjuk!$C$4)</f>
        <v>DENI GANTENG BANGET</v>
      </c>
      <c r="C76" s="9" t="s">
        <v>124</v>
      </c>
      <c r="D76" s="12"/>
      <c r="E76" s="9" t="s">
        <v>229</v>
      </c>
      <c r="F76" s="9" t="s">
        <v>167</v>
      </c>
      <c r="G76" s="9" t="s">
        <v>199</v>
      </c>
      <c r="H76" s="9" t="s">
        <v>230</v>
      </c>
      <c r="I76" s="13"/>
      <c r="J76" s="13"/>
      <c r="K76" s="13"/>
      <c r="L76" s="13"/>
      <c r="M76" s="13"/>
      <c r="N76" s="13"/>
      <c r="O76" s="13"/>
      <c r="P76" s="14"/>
      <c r="Q76" s="14"/>
      <c r="R76" s="9" t="str">
        <f t="shared" si="2"/>
        <v>Lengkapi V4-V9</v>
      </c>
    </row>
    <row r="77" spans="1:18" ht="100" x14ac:dyDescent="0.35">
      <c r="A77" s="12">
        <v>77</v>
      </c>
      <c r="B77" s="12" t="str">
        <f>IF(Petunjuk!$C$4="","",Petunjuk!$C$4)</f>
        <v>DENI GANTENG BANGET</v>
      </c>
      <c r="C77" s="9" t="s">
        <v>124</v>
      </c>
      <c r="D77" s="12"/>
      <c r="E77" s="9" t="s">
        <v>231</v>
      </c>
      <c r="F77" s="9" t="s">
        <v>167</v>
      </c>
      <c r="G77" s="9" t="s">
        <v>199</v>
      </c>
      <c r="H77" s="9" t="s">
        <v>232</v>
      </c>
      <c r="I77" s="13"/>
      <c r="J77" s="13"/>
      <c r="K77" s="13"/>
      <c r="L77" s="13"/>
      <c r="M77" s="13"/>
      <c r="N77" s="13"/>
      <c r="O77" s="13"/>
      <c r="P77" s="14"/>
      <c r="Q77" s="14"/>
      <c r="R77" s="9" t="str">
        <f t="shared" si="2"/>
        <v>Lengkapi V4-V9</v>
      </c>
    </row>
    <row r="78" spans="1:18" ht="150" x14ac:dyDescent="0.35">
      <c r="A78" s="12">
        <v>78</v>
      </c>
      <c r="B78" s="12" t="str">
        <f>IF(Petunjuk!$C$4="","",Petunjuk!$C$4)</f>
        <v>DENI GANTENG BANGET</v>
      </c>
      <c r="C78" s="9" t="s">
        <v>124</v>
      </c>
      <c r="D78" s="12"/>
      <c r="E78" s="9" t="s">
        <v>233</v>
      </c>
      <c r="F78" s="9" t="s">
        <v>167</v>
      </c>
      <c r="G78" s="9" t="s">
        <v>234</v>
      </c>
      <c r="H78" s="9" t="s">
        <v>235</v>
      </c>
      <c r="I78" s="13"/>
      <c r="J78" s="13"/>
      <c r="K78" s="13"/>
      <c r="L78" s="13"/>
      <c r="M78" s="13"/>
      <c r="N78" s="13"/>
      <c r="O78" s="13"/>
      <c r="P78" s="14"/>
      <c r="Q78" s="14"/>
      <c r="R78" s="9" t="str">
        <f t="shared" si="2"/>
        <v>Lengkapi V4-V9</v>
      </c>
    </row>
    <row r="79" spans="1:18" ht="87.5" x14ac:dyDescent="0.35">
      <c r="A79" s="12">
        <v>79</v>
      </c>
      <c r="B79" s="12" t="str">
        <f>IF(Petunjuk!$C$4="","",Petunjuk!$C$4)</f>
        <v>DENI GANTENG BANGET</v>
      </c>
      <c r="C79" s="9" t="s">
        <v>124</v>
      </c>
      <c r="D79" s="15" t="s">
        <v>89</v>
      </c>
      <c r="E79" s="9" t="s">
        <v>236</v>
      </c>
      <c r="F79" s="9" t="s">
        <v>167</v>
      </c>
      <c r="G79" s="9" t="s">
        <v>234</v>
      </c>
      <c r="H79" s="9" t="s">
        <v>237</v>
      </c>
      <c r="I79" s="13" t="s">
        <v>31</v>
      </c>
      <c r="J79" s="13" t="s">
        <v>270</v>
      </c>
      <c r="K79" s="13" t="s">
        <v>35</v>
      </c>
      <c r="L79" s="13" t="s">
        <v>334</v>
      </c>
      <c r="M79" s="13" t="s">
        <v>355</v>
      </c>
      <c r="N79" s="13" t="s">
        <v>41</v>
      </c>
      <c r="O79" s="13"/>
      <c r="P79" s="14"/>
      <c r="Q79" s="14"/>
      <c r="R79" s="9" t="str">
        <f t="shared" si="2"/>
        <v>OK</v>
      </c>
    </row>
    <row r="80" spans="1:18" ht="162.5" x14ac:dyDescent="0.35">
      <c r="A80" s="12">
        <v>80</v>
      </c>
      <c r="B80" s="12" t="str">
        <f>IF(Petunjuk!$C$4="","",Petunjuk!$C$4)</f>
        <v>DENI GANTENG BANGET</v>
      </c>
      <c r="C80" s="9" t="s">
        <v>124</v>
      </c>
      <c r="D80" s="12"/>
      <c r="E80" s="9" t="s">
        <v>238</v>
      </c>
      <c r="F80" s="9" t="s">
        <v>167</v>
      </c>
      <c r="G80" s="9" t="s">
        <v>239</v>
      </c>
      <c r="H80" s="9" t="s">
        <v>240</v>
      </c>
      <c r="I80" s="13"/>
      <c r="J80" s="13"/>
      <c r="K80" s="13"/>
      <c r="L80" s="13"/>
      <c r="M80" s="13"/>
      <c r="N80" s="13"/>
      <c r="O80" s="13"/>
      <c r="P80" s="14"/>
      <c r="Q80" s="14"/>
      <c r="R80" s="9" t="str">
        <f t="shared" si="2"/>
        <v>Lengkapi V4-V9</v>
      </c>
    </row>
    <row r="81" spans="1:18" ht="62.5" x14ac:dyDescent="0.35">
      <c r="A81" s="12">
        <v>81</v>
      </c>
      <c r="B81" s="12" t="str">
        <f>IF(Petunjuk!$C$4="","",Petunjuk!$C$4)</f>
        <v>DENI GANTENG BANGET</v>
      </c>
      <c r="C81" s="9" t="s">
        <v>124</v>
      </c>
      <c r="D81" s="15" t="s">
        <v>89</v>
      </c>
      <c r="E81" s="9" t="s">
        <v>241</v>
      </c>
      <c r="F81" s="9" t="s">
        <v>242</v>
      </c>
      <c r="G81" s="9" t="s">
        <v>243</v>
      </c>
      <c r="H81" s="9" t="s">
        <v>244</v>
      </c>
      <c r="I81" s="13" t="s">
        <v>31</v>
      </c>
      <c r="J81" s="13" t="s">
        <v>291</v>
      </c>
      <c r="K81" s="13" t="s">
        <v>313</v>
      </c>
      <c r="L81" s="13" t="s">
        <v>37</v>
      </c>
      <c r="M81" s="13" t="s">
        <v>359</v>
      </c>
      <c r="N81" s="13"/>
      <c r="O81" s="13"/>
      <c r="P81" s="14"/>
      <c r="Q81" s="14"/>
      <c r="R81" s="9" t="str">
        <f t="shared" si="2"/>
        <v>Lengkapi V4-V9</v>
      </c>
    </row>
    <row r="82" spans="1:18" ht="162.5" x14ac:dyDescent="0.35">
      <c r="A82" s="12">
        <v>82</v>
      </c>
      <c r="B82" s="12" t="str">
        <f>IF(Petunjuk!$C$4="","",Petunjuk!$C$4)</f>
        <v>DENI GANTENG BANGET</v>
      </c>
      <c r="C82" s="9" t="s">
        <v>124</v>
      </c>
      <c r="D82" s="12"/>
      <c r="E82" s="9" t="s">
        <v>245</v>
      </c>
      <c r="F82" s="9" t="s">
        <v>242</v>
      </c>
      <c r="G82" s="9" t="s">
        <v>246</v>
      </c>
      <c r="H82" s="9" t="s">
        <v>247</v>
      </c>
      <c r="I82" s="13"/>
      <c r="J82" s="13"/>
      <c r="K82" s="13"/>
      <c r="L82" s="13"/>
      <c r="M82" s="13"/>
      <c r="N82" s="13"/>
      <c r="O82" s="13"/>
      <c r="P82" s="14"/>
      <c r="Q82" s="14"/>
      <c r="R82" s="9" t="str">
        <f t="shared" si="2"/>
        <v>Lengkapi V4-V9</v>
      </c>
    </row>
    <row r="83" spans="1:18" ht="62.5" x14ac:dyDescent="0.35">
      <c r="A83" s="12">
        <v>83</v>
      </c>
      <c r="B83" s="12" t="str">
        <f>IF(Petunjuk!$C$4="","",Petunjuk!$C$4)</f>
        <v>DENI GANTENG BANGET</v>
      </c>
      <c r="C83" s="9" t="s">
        <v>124</v>
      </c>
      <c r="D83" s="12"/>
      <c r="E83" s="9" t="s">
        <v>248</v>
      </c>
      <c r="F83" s="9" t="s">
        <v>249</v>
      </c>
      <c r="G83" s="9"/>
      <c r="H83" s="9" t="s">
        <v>250</v>
      </c>
      <c r="I83" s="13"/>
      <c r="J83" s="13"/>
      <c r="K83" s="13"/>
      <c r="L83" s="13"/>
      <c r="M83" s="13"/>
      <c r="N83" s="13"/>
      <c r="O83" s="13"/>
      <c r="P83" s="14"/>
      <c r="Q83" s="14"/>
      <c r="R83" s="9" t="str">
        <f t="shared" si="2"/>
        <v>Lengkapi V4-V9</v>
      </c>
    </row>
    <row r="84" spans="1:18" ht="50" x14ac:dyDescent="0.35">
      <c r="A84" s="12">
        <v>84</v>
      </c>
      <c r="B84" s="12" t="str">
        <f>IF(Petunjuk!$C$4="","",Petunjuk!$C$4)</f>
        <v>DENI GANTENG BANGET</v>
      </c>
      <c r="C84" s="9" t="s">
        <v>124</v>
      </c>
      <c r="D84" s="12"/>
      <c r="E84" s="9" t="s">
        <v>251</v>
      </c>
      <c r="F84" s="9" t="s">
        <v>249</v>
      </c>
      <c r="G84" s="9"/>
      <c r="H84" s="9" t="s">
        <v>252</v>
      </c>
      <c r="I84" s="13"/>
      <c r="J84" s="13"/>
      <c r="K84" s="13"/>
      <c r="L84" s="13"/>
      <c r="M84" s="13"/>
      <c r="N84" s="13"/>
      <c r="O84" s="13"/>
      <c r="P84" s="14"/>
      <c r="Q84" s="14"/>
      <c r="R84" s="9" t="str">
        <f t="shared" si="2"/>
        <v>Lengkapi V4-V9</v>
      </c>
    </row>
    <row r="85" spans="1:18" ht="409.5" x14ac:dyDescent="0.35">
      <c r="A85" s="12">
        <v>85</v>
      </c>
      <c r="B85" s="12" t="str">
        <f>IF(Petunjuk!$C$4="","",Petunjuk!$C$4)</f>
        <v>DENI GANTENG BANGET</v>
      </c>
      <c r="C85" s="9" t="s">
        <v>253</v>
      </c>
      <c r="D85" s="12"/>
      <c r="E85" s="9" t="s">
        <v>125</v>
      </c>
      <c r="F85" s="9" t="s">
        <v>126</v>
      </c>
      <c r="G85" s="9"/>
      <c r="H85" s="9" t="s">
        <v>254</v>
      </c>
      <c r="I85" s="13"/>
      <c r="J85" s="13"/>
      <c r="K85" s="13"/>
      <c r="L85" s="13"/>
      <c r="M85" s="13"/>
      <c r="N85" s="13"/>
      <c r="O85" s="13"/>
      <c r="P85" s="14"/>
      <c r="Q85" s="14"/>
      <c r="R85" s="9" t="str">
        <f t="shared" si="2"/>
        <v>Lengkapi V4-V9</v>
      </c>
    </row>
    <row r="86" spans="1:18" ht="50" x14ac:dyDescent="0.35">
      <c r="A86" s="12">
        <v>86</v>
      </c>
      <c r="B86" s="12" t="str">
        <f>IF(Petunjuk!$C$4="","",Petunjuk!$C$4)</f>
        <v>DENI GANTENG BANGET</v>
      </c>
      <c r="C86" s="9" t="s">
        <v>253</v>
      </c>
      <c r="D86" s="12"/>
      <c r="E86" s="9" t="s">
        <v>209</v>
      </c>
      <c r="F86" s="9" t="s">
        <v>255</v>
      </c>
      <c r="G86" s="9" t="s">
        <v>256</v>
      </c>
      <c r="H86" s="9" t="s">
        <v>257</v>
      </c>
      <c r="I86" s="13"/>
      <c r="J86" s="13"/>
      <c r="K86" s="13"/>
      <c r="L86" s="13"/>
      <c r="M86" s="13"/>
      <c r="N86" s="13"/>
      <c r="O86" s="13"/>
      <c r="P86" s="14"/>
      <c r="Q86" s="14"/>
      <c r="R86" s="9" t="str">
        <f t="shared" si="2"/>
        <v>Lengkapi V4-V9</v>
      </c>
    </row>
  </sheetData>
  <autoFilter ref="A1:R86" xr:uid="{00000000-0009-0000-0000-000001000000}"/>
  <conditionalFormatting sqref="R2:R86">
    <cfRule type="expression" dxfId="2" priority="2">
      <formula>R2="OK"</formula>
    </cfRule>
    <cfRule type="expression" dxfId="1" priority="3">
      <formula>LEFT(R2,7)="Periksa"</formula>
    </cfRule>
    <cfRule type="expression" dxfId="0" priority="4">
      <formula>OR(LEFT(R2,1)="R",LEFT(R2,2)="P9")</formula>
    </cfRule>
  </conditionalFormatting>
  <dataValidations count="7">
    <dataValidation type="list" allowBlank="1" showErrorMessage="1" errorTitle="Kode tidak valid" error="Pilih kode dari daftar. Lihat sheet Daftar Kode." sqref="I2:I86" xr:uid="{00000000-0002-0000-0100-000000000000}">
      <formula1>"R0,R1,R2"</formula1>
      <formula2>0</formula2>
    </dataValidation>
    <dataValidation type="list" allowBlank="1" showErrorMessage="1" errorTitle="Kode tidak valid" error="Pilih kode dari daftar. Lihat sheet Daftar Kode." sqref="J2:J86" xr:uid="{00000000-0002-0000-0100-000001000000}">
      <formula1>"T01,T02,T03,T04,T05,T06,T07,T08,T09,T10,T11,T12,T13,T14,T15,T16,T17,T99"</formula1>
      <formula2>0</formula2>
    </dataValidation>
    <dataValidation type="list" allowBlank="1" showErrorMessage="1" errorTitle="Kode tidak valid" error="Pilih kode dari daftar. Lihat sheet Daftar Kode." sqref="K2:K86" xr:uid="{00000000-0002-0000-0100-000002000000}">
      <formula1>"P1,P2,P3,P4,P5,P6,P7,P8,P9"</formula1>
      <formula2>0</formula2>
    </dataValidation>
    <dataValidation type="list" allowBlank="1" showErrorMessage="1" errorTitle="Kode tidak valid" error="Pilih kode dari daftar. Lihat sheet Daftar Kode." sqref="L2:L86" xr:uid="{00000000-0002-0000-0100-000003000000}">
      <formula1>"S1,S2,S3,S4,S5,S6,S7,S8,S9"</formula1>
      <formula2>0</formula2>
    </dataValidation>
    <dataValidation type="list" allowBlank="1" showErrorMessage="1" errorTitle="Kode tidak valid" error="Pilih kode dari daftar. Lihat sheet Daftar Kode." sqref="M2:M86" xr:uid="{00000000-0002-0000-0100-000004000000}">
      <formula1>"F1,F2,F3,F4,F5,F6,F7,F8"</formula1>
      <formula2>0</formula2>
    </dataValidation>
    <dataValidation type="list" allowBlank="1" showErrorMessage="1" errorTitle="Kode tidak valid" error="Pilih kode dari daftar. Lihat sheet Daftar Kode." sqref="N2:N86" xr:uid="{00000000-0002-0000-0100-000005000000}">
      <formula1>"K1,K2,K3,K4,K5"</formula1>
      <formula2>0</formula2>
    </dataValidation>
    <dataValidation type="list" allowBlank="1" showErrorMessage="1" errorTitle="Kode tidak valid" error="Pilih kode dari daftar. Lihat sheet Daftar Kode." sqref="O2:O86" xr:uid="{00000000-0002-0000-0100-000006000000}">
      <formula1>"T01,T02,T03,T04,T05,T06,T07,T08,T09,T10,T11,T12,T13,T14,T15,T16,T17"</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5"/>
  <sheetViews>
    <sheetView zoomScaleNormal="100" workbookViewId="0">
      <pane ySplit="2" topLeftCell="A3" activePane="bottomLeft" state="frozen"/>
      <selection pane="bottomLeft" activeCell="B55" sqref="B55"/>
    </sheetView>
  </sheetViews>
  <sheetFormatPr defaultColWidth="8.6328125" defaultRowHeight="14.5" x14ac:dyDescent="0.35"/>
  <cols>
    <col min="1" max="1" width="10" customWidth="1"/>
    <col min="2" max="2" width="46" customWidth="1"/>
    <col min="3" max="3" width="70" customWidth="1"/>
  </cols>
  <sheetData>
    <row r="1" spans="1:3" x14ac:dyDescent="0.35">
      <c r="A1" s="3" t="s">
        <v>258</v>
      </c>
    </row>
    <row r="3" spans="1:3" x14ac:dyDescent="0.35">
      <c r="A3" s="3" t="s">
        <v>30</v>
      </c>
    </row>
    <row r="4" spans="1:3" x14ac:dyDescent="0.35">
      <c r="A4" s="9" t="s">
        <v>259</v>
      </c>
      <c r="B4" s="9" t="s">
        <v>260</v>
      </c>
      <c r="C4" s="9" t="s">
        <v>261</v>
      </c>
    </row>
    <row r="5" spans="1:3" x14ac:dyDescent="0.35">
      <c r="A5" s="9" t="s">
        <v>262</v>
      </c>
      <c r="B5" s="9" t="s">
        <v>263</v>
      </c>
      <c r="C5" s="9" t="s">
        <v>264</v>
      </c>
    </row>
    <row r="6" spans="1:3" ht="25" x14ac:dyDescent="0.35">
      <c r="A6" s="9" t="s">
        <v>31</v>
      </c>
      <c r="B6" s="9" t="s">
        <v>265</v>
      </c>
      <c r="C6" s="9" t="s">
        <v>266</v>
      </c>
    </row>
    <row r="8" spans="1:3" x14ac:dyDescent="0.35">
      <c r="A8" s="3" t="s">
        <v>267</v>
      </c>
    </row>
    <row r="9" spans="1:3" x14ac:dyDescent="0.35">
      <c r="A9" s="9" t="s">
        <v>268</v>
      </c>
      <c r="B9" s="9" t="s">
        <v>269</v>
      </c>
      <c r="C9" s="9"/>
    </row>
    <row r="10" spans="1:3" x14ac:dyDescent="0.35">
      <c r="A10" s="9" t="s">
        <v>270</v>
      </c>
      <c r="B10" s="9" t="s">
        <v>271</v>
      </c>
      <c r="C10" s="9"/>
    </row>
    <row r="11" spans="1:3" x14ac:dyDescent="0.35">
      <c r="A11" s="9" t="s">
        <v>272</v>
      </c>
      <c r="B11" s="9" t="s">
        <v>273</v>
      </c>
      <c r="C11" s="9"/>
    </row>
    <row r="12" spans="1:3" x14ac:dyDescent="0.35">
      <c r="A12" s="9" t="s">
        <v>274</v>
      </c>
      <c r="B12" s="9" t="s">
        <v>275</v>
      </c>
      <c r="C12" s="9"/>
    </row>
    <row r="13" spans="1:3" x14ac:dyDescent="0.35">
      <c r="A13" s="9" t="s">
        <v>276</v>
      </c>
      <c r="B13" s="9" t="s">
        <v>277</v>
      </c>
      <c r="C13" s="9"/>
    </row>
    <row r="14" spans="1:3" x14ac:dyDescent="0.35">
      <c r="A14" s="9" t="s">
        <v>278</v>
      </c>
      <c r="B14" s="9" t="s">
        <v>279</v>
      </c>
      <c r="C14" s="9"/>
    </row>
    <row r="15" spans="1:3" x14ac:dyDescent="0.35">
      <c r="A15" s="9" t="s">
        <v>280</v>
      </c>
      <c r="B15" s="9" t="s">
        <v>281</v>
      </c>
      <c r="C15" s="9"/>
    </row>
    <row r="16" spans="1:3" x14ac:dyDescent="0.35">
      <c r="A16" s="9" t="s">
        <v>282</v>
      </c>
      <c r="B16" s="9" t="s">
        <v>283</v>
      </c>
      <c r="C16" s="9"/>
    </row>
    <row r="17" spans="1:3" x14ac:dyDescent="0.35">
      <c r="A17" s="9" t="s">
        <v>284</v>
      </c>
      <c r="B17" s="9" t="s">
        <v>285</v>
      </c>
      <c r="C17" s="9"/>
    </row>
    <row r="18" spans="1:3" x14ac:dyDescent="0.35">
      <c r="A18" s="9" t="s">
        <v>286</v>
      </c>
      <c r="B18" s="9" t="s">
        <v>287</v>
      </c>
      <c r="C18" s="9"/>
    </row>
    <row r="19" spans="1:3" x14ac:dyDescent="0.35">
      <c r="A19" s="9" t="s">
        <v>33</v>
      </c>
      <c r="B19" s="9" t="s">
        <v>288</v>
      </c>
      <c r="C19" s="9"/>
    </row>
    <row r="20" spans="1:3" x14ac:dyDescent="0.35">
      <c r="A20" s="9" t="s">
        <v>289</v>
      </c>
      <c r="B20" s="9" t="s">
        <v>290</v>
      </c>
      <c r="C20" s="9"/>
    </row>
    <row r="21" spans="1:3" x14ac:dyDescent="0.35">
      <c r="A21" s="9" t="s">
        <v>291</v>
      </c>
      <c r="B21" s="9" t="s">
        <v>292</v>
      </c>
      <c r="C21" s="9"/>
    </row>
    <row r="22" spans="1:3" x14ac:dyDescent="0.35">
      <c r="A22" s="9" t="s">
        <v>293</v>
      </c>
      <c r="B22" s="9" t="s">
        <v>294</v>
      </c>
      <c r="C22" s="9"/>
    </row>
    <row r="23" spans="1:3" x14ac:dyDescent="0.35">
      <c r="A23" s="9" t="s">
        <v>295</v>
      </c>
      <c r="B23" s="9" t="s">
        <v>296</v>
      </c>
      <c r="C23" s="9"/>
    </row>
    <row r="24" spans="1:3" x14ac:dyDescent="0.35">
      <c r="A24" s="9" t="s">
        <v>297</v>
      </c>
      <c r="B24" s="9" t="s">
        <v>298</v>
      </c>
      <c r="C24" s="9"/>
    </row>
    <row r="25" spans="1:3" x14ac:dyDescent="0.35">
      <c r="A25" s="9" t="s">
        <v>299</v>
      </c>
      <c r="B25" s="9" t="s">
        <v>300</v>
      </c>
      <c r="C25" s="9"/>
    </row>
    <row r="26" spans="1:3" x14ac:dyDescent="0.35">
      <c r="A26" s="9" t="s">
        <v>301</v>
      </c>
      <c r="B26" s="9" t="s">
        <v>302</v>
      </c>
      <c r="C26" s="9" t="s">
        <v>303</v>
      </c>
    </row>
    <row r="28" spans="1:3" x14ac:dyDescent="0.35">
      <c r="A28" s="3" t="s">
        <v>304</v>
      </c>
    </row>
    <row r="29" spans="1:3" x14ac:dyDescent="0.35">
      <c r="A29" s="9" t="s">
        <v>305</v>
      </c>
      <c r="B29" s="9" t="s">
        <v>306</v>
      </c>
      <c r="C29" s="9" t="s">
        <v>307</v>
      </c>
    </row>
    <row r="30" spans="1:3" x14ac:dyDescent="0.35">
      <c r="A30" s="9" t="s">
        <v>35</v>
      </c>
      <c r="B30" s="9" t="s">
        <v>308</v>
      </c>
      <c r="C30" s="9" t="s">
        <v>309</v>
      </c>
    </row>
    <row r="31" spans="1:3" x14ac:dyDescent="0.35">
      <c r="A31" s="9" t="s">
        <v>310</v>
      </c>
      <c r="B31" s="9" t="s">
        <v>311</v>
      </c>
      <c r="C31" s="9" t="s">
        <v>312</v>
      </c>
    </row>
    <row r="32" spans="1:3" x14ac:dyDescent="0.35">
      <c r="A32" s="9" t="s">
        <v>313</v>
      </c>
      <c r="B32" s="9" t="s">
        <v>314</v>
      </c>
      <c r="C32" s="9" t="s">
        <v>315</v>
      </c>
    </row>
    <row r="33" spans="1:3" x14ac:dyDescent="0.35">
      <c r="A33" s="9" t="s">
        <v>316</v>
      </c>
      <c r="B33" s="9" t="s">
        <v>317</v>
      </c>
      <c r="C33" s="9" t="s">
        <v>318</v>
      </c>
    </row>
    <row r="34" spans="1:3" x14ac:dyDescent="0.35">
      <c r="A34" s="9" t="s">
        <v>319</v>
      </c>
      <c r="B34" s="9" t="s">
        <v>320</v>
      </c>
      <c r="C34" s="9" t="s">
        <v>321</v>
      </c>
    </row>
    <row r="35" spans="1:3" x14ac:dyDescent="0.35">
      <c r="A35" s="9" t="s">
        <v>322</v>
      </c>
      <c r="B35" s="9" t="s">
        <v>323</v>
      </c>
      <c r="C35" s="9"/>
    </row>
    <row r="36" spans="1:3" x14ac:dyDescent="0.35">
      <c r="A36" s="9" t="s">
        <v>324</v>
      </c>
      <c r="B36" s="9" t="s">
        <v>325</v>
      </c>
      <c r="C36" s="9" t="s">
        <v>326</v>
      </c>
    </row>
    <row r="37" spans="1:3" x14ac:dyDescent="0.35">
      <c r="A37" s="9" t="s">
        <v>327</v>
      </c>
      <c r="B37" s="9" t="s">
        <v>328</v>
      </c>
      <c r="C37" s="9" t="s">
        <v>329</v>
      </c>
    </row>
    <row r="39" spans="1:3" x14ac:dyDescent="0.35">
      <c r="A39" s="3" t="s">
        <v>330</v>
      </c>
    </row>
    <row r="40" spans="1:3" x14ac:dyDescent="0.35">
      <c r="A40" s="9" t="s">
        <v>37</v>
      </c>
      <c r="B40" s="9" t="s">
        <v>331</v>
      </c>
      <c r="C40" s="9"/>
    </row>
    <row r="41" spans="1:3" x14ac:dyDescent="0.35">
      <c r="A41" s="9" t="s">
        <v>332</v>
      </c>
      <c r="B41" s="9" t="s">
        <v>333</v>
      </c>
      <c r="C41" s="9"/>
    </row>
    <row r="42" spans="1:3" x14ac:dyDescent="0.35">
      <c r="A42" s="9" t="s">
        <v>334</v>
      </c>
      <c r="B42" s="9" t="s">
        <v>335</v>
      </c>
      <c r="C42" s="9" t="s">
        <v>336</v>
      </c>
    </row>
    <row r="43" spans="1:3" x14ac:dyDescent="0.35">
      <c r="A43" s="9" t="s">
        <v>337</v>
      </c>
      <c r="B43" s="9" t="s">
        <v>338</v>
      </c>
      <c r="C43" s="9"/>
    </row>
    <row r="44" spans="1:3" x14ac:dyDescent="0.35">
      <c r="A44" s="9" t="s">
        <v>339</v>
      </c>
      <c r="B44" s="9" t="s">
        <v>340</v>
      </c>
      <c r="C44" s="9"/>
    </row>
    <row r="45" spans="1:3" x14ac:dyDescent="0.35">
      <c r="A45" s="9" t="s">
        <v>341</v>
      </c>
      <c r="B45" s="9" t="s">
        <v>342</v>
      </c>
      <c r="C45" s="9"/>
    </row>
    <row r="46" spans="1:3" x14ac:dyDescent="0.35">
      <c r="A46" s="9" t="s">
        <v>343</v>
      </c>
      <c r="B46" s="9" t="s">
        <v>344</v>
      </c>
      <c r="C46" s="9"/>
    </row>
    <row r="47" spans="1:3" x14ac:dyDescent="0.35">
      <c r="A47" s="9" t="s">
        <v>345</v>
      </c>
      <c r="B47" s="9" t="s">
        <v>346</v>
      </c>
      <c r="C47" s="9"/>
    </row>
    <row r="48" spans="1:3" x14ac:dyDescent="0.35">
      <c r="A48" s="9" t="s">
        <v>347</v>
      </c>
      <c r="B48" s="9" t="s">
        <v>348</v>
      </c>
      <c r="C48" s="9" t="s">
        <v>349</v>
      </c>
    </row>
    <row r="50" spans="1:3" x14ac:dyDescent="0.35">
      <c r="A50" s="3" t="s">
        <v>350</v>
      </c>
    </row>
    <row r="51" spans="1:3" x14ac:dyDescent="0.35">
      <c r="A51" s="9" t="s">
        <v>351</v>
      </c>
      <c r="B51" s="9" t="s">
        <v>352</v>
      </c>
      <c r="C51" s="9"/>
    </row>
    <row r="52" spans="1:3" x14ac:dyDescent="0.35">
      <c r="A52" s="9" t="s">
        <v>353</v>
      </c>
      <c r="B52" s="9" t="s">
        <v>354</v>
      </c>
      <c r="C52" s="9"/>
    </row>
    <row r="53" spans="1:3" x14ac:dyDescent="0.35">
      <c r="A53" s="9" t="s">
        <v>355</v>
      </c>
      <c r="B53" s="9" t="s">
        <v>356</v>
      </c>
      <c r="C53" s="9"/>
    </row>
    <row r="54" spans="1:3" x14ac:dyDescent="0.35">
      <c r="A54" s="9" t="s">
        <v>357</v>
      </c>
      <c r="B54" s="9" t="s">
        <v>358</v>
      </c>
      <c r="C54" s="9"/>
    </row>
    <row r="55" spans="1:3" x14ac:dyDescent="0.35">
      <c r="A55" s="9" t="s">
        <v>359</v>
      </c>
      <c r="B55" s="9" t="s">
        <v>360</v>
      </c>
      <c r="C55" s="9"/>
    </row>
    <row r="56" spans="1:3" x14ac:dyDescent="0.35">
      <c r="A56" s="9" t="s">
        <v>39</v>
      </c>
      <c r="B56" s="9" t="s">
        <v>361</v>
      </c>
      <c r="C56" s="9"/>
    </row>
    <row r="57" spans="1:3" x14ac:dyDescent="0.35">
      <c r="A57" s="9" t="s">
        <v>362</v>
      </c>
      <c r="B57" s="9" t="s">
        <v>363</v>
      </c>
      <c r="C57" s="9"/>
    </row>
    <row r="58" spans="1:3" x14ac:dyDescent="0.35">
      <c r="A58" s="9" t="s">
        <v>364</v>
      </c>
      <c r="B58" s="9" t="s">
        <v>365</v>
      </c>
      <c r="C58" s="9"/>
    </row>
    <row r="60" spans="1:3" x14ac:dyDescent="0.35">
      <c r="A60" s="3" t="s">
        <v>366</v>
      </c>
    </row>
    <row r="61" spans="1:3" x14ac:dyDescent="0.35">
      <c r="A61" s="9" t="s">
        <v>41</v>
      </c>
      <c r="B61" s="9" t="s">
        <v>367</v>
      </c>
      <c r="C61" s="9" t="s">
        <v>368</v>
      </c>
    </row>
    <row r="62" spans="1:3" x14ac:dyDescent="0.35">
      <c r="A62" s="9" t="s">
        <v>369</v>
      </c>
      <c r="B62" s="9" t="s">
        <v>370</v>
      </c>
      <c r="C62" s="9"/>
    </row>
    <row r="63" spans="1:3" x14ac:dyDescent="0.35">
      <c r="A63" s="9" t="s">
        <v>371</v>
      </c>
      <c r="B63" s="9" t="s">
        <v>372</v>
      </c>
      <c r="C63" s="9"/>
    </row>
    <row r="64" spans="1:3" x14ac:dyDescent="0.35">
      <c r="A64" s="9" t="s">
        <v>373</v>
      </c>
      <c r="B64" s="9" t="s">
        <v>374</v>
      </c>
      <c r="C64" s="9"/>
    </row>
    <row r="65" spans="1:3" x14ac:dyDescent="0.35">
      <c r="A65" s="9" t="s">
        <v>375</v>
      </c>
      <c r="B65" s="9" t="s">
        <v>376</v>
      </c>
      <c r="C65" s="9"/>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Petunjuk</vt:lpstr>
      <vt:lpstr>Lembar Coding</vt:lpstr>
      <vt:lpstr>Daftar Kode</vt:lpstr>
      <vt:lpstr>'Lembar Coding'!Print_Titles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0</cp:revision>
  <dcterms:created xsi:type="dcterms:W3CDTF">2026-10-15T03:05:08Z</dcterms:created>
  <dcterms:modified xsi:type="dcterms:W3CDTF">2026-10-17T04:01:20Z</dcterms:modified>
  <dc:language>en-US</dc:language>
</cp:coreProperties>
</file>