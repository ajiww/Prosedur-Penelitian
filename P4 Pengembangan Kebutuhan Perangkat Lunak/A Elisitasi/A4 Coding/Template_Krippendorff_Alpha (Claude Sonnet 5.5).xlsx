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etunjuk" sheetId="1" state="visible" r:id="rId3"/>
    <sheet name="Contoh_Data" sheetId="2" state="visible" r:id="rId4"/>
    <sheet name="Input" sheetId="3" state="visible" r:id="rId5"/>
    <sheet name="Hitung_Unit" sheetId="4" state="visible" r:id="rId6"/>
    <sheet name="Hasil_Alph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<sst xmlns="http://schemas.openxmlformats.org/spreadsheetml/2006/main" count="267" uniqueCount="150">
  <si>
    <t xml:space="preserve">Template Krippendorff's Alpha (α) – Petunjuk Penggunaan</t>
  </si>
  <si>
    <t xml:space="preserve">A. SPESIFIKASI TEMPLATE</t>
  </si>
  <si>
    <t xml:space="preserve">•</t>
  </si>
  <si>
    <t xml:space="preserve">Jumlah coder: 2 sampai 4 (dipilih di sel Input!H4).</t>
  </si>
  <si>
    <t xml:space="preserve">Jenis data: Nominal dan Ordinal (dipilih di sel Input!H5).</t>
  </si>
  <si>
    <t xml:space="preserve">Banyak data (unit) per coder: 1 sampai 100 baris (Input!A5:E104). Maksimal 20 kategori. Mendukung data hilang (sel kosong).</t>
  </si>
  <si>
    <t xml:space="preserve">Kategori boleh berupa angka (1, 2, 3 …) atau teks (Positif, Netral …).</t>
  </si>
  <si>
    <t xml:space="preserve">B. LANGKAH PENGGUNAAN</t>
  </si>
  <si>
    <t xml:space="preserve">1</t>
  </si>
  <si>
    <t xml:space="preserve">Buka sheet Input. Template sudah berisi Contoh 1 (nominal). Untuk data Anda: blok B5:E104 lalu tekan Delete; kosongkan H10:H29 dan H6.</t>
  </si>
  <si>
    <t xml:space="preserve">2</t>
  </si>
  <si>
    <t xml:space="preserve">Pilih Jumlah coder (H4) dan Jenis data (H5) dari dropdown. Kolom coder di luar jumlah yang dipilih otomatis berwarna abu-abu dan diabaikan.</t>
  </si>
  <si>
    <t xml:space="preserve">3</t>
  </si>
  <si>
    <t xml:space="preserve">Isi Daftar Kategori di H10:H29 mulai dari atas. Nominal: urutan bebas. Ordinal: WAJIB urut dari rendah ke tinggi (mis. 1,2,3,4,5 atau Rendah, Sedang, Tinggi).</t>
  </si>
  <si>
    <t xml:space="preserve">4</t>
  </si>
  <si>
    <t xml:space="preserve">Isi data pada B5:E104: satu baris = satu unit yang dikode, satu kolom = satu coder. Pilih dari dropdown atau ketik persis sama dengan kategori. Kosongkan sel jika coder tidak mengkode unit itu.</t>
  </si>
  <si>
    <t xml:space="preserve">5</t>
  </si>
  <si>
    <t xml:space="preserve">Lihat hasil di panel HASIL (Input!H32:H38) – Alpha, interpretasi, jumlah unit, dan status data. Rincian matriks ada di sheet Hasil_Alpha.</t>
  </si>
  <si>
    <t xml:space="preserve">6</t>
  </si>
  <si>
    <t xml:space="preserve">Periksa Status data. Sel merah di Input = entri yang tidak ada di daftar kategori (mis. salah ketik atau spasi berlebih) dan tidak ikut dihitung.</t>
  </si>
  <si>
    <t xml:space="preserve">7</t>
  </si>
  <si>
    <t xml:space="preserve">Untuk mencoba contoh ordinal: salin data dari Contoh_Data ke Input, set H4=3, H5=Ordinal, H10:H14 = 1–5, hapus kategori lain (H15:H29). Hasil harus = nilai acuan.</t>
  </si>
  <si>
    <t xml:space="preserve">C. ISI SETIAP SHEET</t>
  </si>
  <si>
    <t xml:space="preserve">Input</t>
  </si>
  <si>
    <t xml:space="preserve">Pengaturan, daftar kategori, data coder, dan ringkasan hasil (satu-satunya sheet yang perlu diisi).</t>
  </si>
  <si>
    <t xml:space="preserve">Hitung_Unit</t>
  </si>
  <si>
    <t xml:space="preserve">Konversi tiap nilai menjadi indeks kategori, jumlah nilai per unit (m), bobot 1/(m−1), dan hitungan per kategori.</t>
  </si>
  <si>
    <t xml:space="preserve">Hasil_Alpha</t>
  </si>
  <si>
    <t xml:space="preserve">Ringkasan (Do, De, Alpha, interpretasi), matriks koinsidensi, matriks harapan, dan matriks selisih kuadrat.</t>
  </si>
  <si>
    <t xml:space="preserve">Contoh_Data</t>
  </si>
  <si>
    <t xml:space="preserve">Dua contoh data (nominal &amp; ordinal) beserta nilai acuan Alpha untuk verifikasi.</t>
  </si>
  <si>
    <t xml:space="preserve">D. RUMUS YANG DIPAKAI</t>
  </si>
  <si>
    <t xml:space="preserve">Alpha</t>
  </si>
  <si>
    <t xml:space="preserve">α = 1 − Do / De, dengan Do = (1/n)·Σ o_ck·δ²_ck dan De = (1/n)·Σ e_ck·δ²_ck.</t>
  </si>
  <si>
    <t xml:space="preserve">Matriks koinsidensi</t>
  </si>
  <si>
    <t xml:space="preserve">o_ck = Σ_unit [ n_uc·n_uk − (c=k)·n_uc ] / (m_u − 1). Hanya unit dengan m_u ≥ 2 nilai yang dihitung.</t>
  </si>
  <si>
    <t xml:space="preserve">Matriks harapan</t>
  </si>
  <si>
    <t xml:space="preserve">e_ck = n_c·n_k / (n − 1) untuk c≠k; e_cc = n_c·(n_c − 1) / (n − 1). n_c = total baris c pada matriks koinsidensi.</t>
  </si>
  <si>
    <t xml:space="preserve">δ² Nominal</t>
  </si>
  <si>
    <t xml:space="preserve">0 bila c = k; 1 bila c ≠ k.</t>
  </si>
  <si>
    <t xml:space="preserve">δ² Ordinal</t>
  </si>
  <si>
    <t xml:space="preserve">(n_c/2 + n_(c+1) + … + n_(k−1) + n_k/2)², yaitu (Σ n_g dari c sampai k) − (n_c + n_k)/2, dikuadratkan.</t>
  </si>
  <si>
    <t xml:space="preserve">E. FORMULA EXCEL KUNCI</t>
  </si>
  <si>
    <t xml:space="preserve">Hitung_Unit!B5 (indeks)</t>
  </si>
  <si>
    <t xml:space="preserve">IF(Input!B5="","",IF(B$3&gt;Input!$H$4,"",IFERROR(MATCH(Input!B5,Input!$H$10:$H$29,0),"ERR")))</t>
  </si>
  <si>
    <t xml:space="preserve">Hitung_Unit!H5 (bobot)</t>
  </si>
  <si>
    <t xml:space="preserve">IF(F5&gt;=2, 1/(F5−1), 0)</t>
  </si>
  <si>
    <t xml:space="preserve">Hitung_Unit!I5 (n_uk)</t>
  </si>
  <si>
    <t xml:space="preserve">COUNTIF($B5:$E5, I$3)</t>
  </si>
  <si>
    <t xml:space="preserve">Hasil_Alpha!C21 (o_ck)</t>
  </si>
  <si>
    <t xml:space="preserve">SUMPRODUCT(Hitung_Unit!$I$5:$I$104, Hitung_Unit!$I$5:$I$104−1, Hitung_Unit!$H$5:$H$104)   [−1 hanya untuk c = k]</t>
  </si>
  <si>
    <t xml:space="preserve">Hasil_Alpha!F9 (Do)</t>
  </si>
  <si>
    <t xml:space="preserve">SUMPRODUCT(matriks_koinsidensi, matriks_selisih) / n</t>
  </si>
  <si>
    <t xml:space="preserve">Hasil_Alpha!F10 (De)</t>
  </si>
  <si>
    <t xml:space="preserve">SUMPRODUCT(matriks_harapan, matriks_selisih) / n</t>
  </si>
  <si>
    <t xml:space="preserve">Hasil_Alpha!F11 (Alpha)</t>
  </si>
  <si>
    <t xml:space="preserve">IF(n&lt;=1,"N/A",IF(De=0,"N/A",1 − Do/De))</t>
  </si>
  <si>
    <t xml:space="preserve">F. INTERPRETASI &amp; CATATAN</t>
  </si>
  <si>
    <t xml:space="preserve">α ≥ 0,800</t>
  </si>
  <si>
    <t xml:space="preserve">Reliabel – data dapat diandalkan.</t>
  </si>
  <si>
    <t xml:space="preserve">0,667 ≤ α &lt; 0,800</t>
  </si>
  <si>
    <t xml:space="preserve">Tentatif – hanya untuk kesimpulan awal.</t>
  </si>
  <si>
    <t xml:space="preserve">α &lt; 0,667</t>
  </si>
  <si>
    <t xml:space="preserve">Tidak reliabel. Ambang ini mengikuti saran Krippendorff (2004) dan dapat disesuaikan dengan bidang/tujuan penelitian Anda.</t>
  </si>
  <si>
    <t xml:space="preserve">Hasil N/A</t>
  </si>
  <si>
    <t xml:space="preserve">Terjadi bila tidak ada unit dengan ≥2 nilai, atau seluruh nilai jatuh pada satu kategori saja (variasi nol, De = 0), sehingga Alpha tidak terdefinisi.</t>
  </si>
  <si>
    <t xml:space="preserve">Data hilang</t>
  </si>
  <si>
    <t xml:space="preserve">Sel kosong diperbolehkan; unit dengan hanya 1 nilai tidak dihitung. Jumlah coder per unit boleh berbeda-beda.</t>
  </si>
  <si>
    <t xml:space="preserve">Sampel kecil</t>
  </si>
  <si>
    <t xml:space="preserve">Dengan unit sangat sedikit (mis. 1–5), Alpha sangat tidak stabil; interpretasikan dengan hati-hati.</t>
  </si>
  <si>
    <t xml:space="preserve">Ordinal</t>
  </si>
  <si>
    <t xml:space="preserve">Kategori yang ada di daftar tetapi tidak muncul di data tetap menjaga urutan dan tidak memengaruhi hasil.</t>
  </si>
  <si>
    <t xml:space="preserve">G. REFERENSI</t>
  </si>
  <si>
    <t xml:space="preserve">Krippendorff, K. (2011)</t>
  </si>
  <si>
    <t xml:space="preserve">Computing Krippendorff's Alpha-Reliability. Departmental Papers (ASC), University of Pennsylvania.</t>
  </si>
  <si>
    <t xml:space="preserve">Krippendorff, K. (2004)</t>
  </si>
  <si>
    <t xml:space="preserve">Content Analysis: An Introduction to Its Methodology (2nd ed.). Sage.</t>
  </si>
  <si>
    <t xml:space="preserve">Contoh Data &amp; Nilai Acuan</t>
  </si>
  <si>
    <t xml:space="preserve">Salin data contoh ke sheet Input (B5:E104) dan atur H4, H5, H10:H29 sesuai keterangan; hasil harus sama dengan nilai acuan.</t>
  </si>
  <si>
    <t xml:space="preserve">CONTOH 1 – NOMINAL (sentimen berita)</t>
  </si>
  <si>
    <t xml:space="preserve">CONTOH 2 – ORDINAL (skala 1–5)</t>
  </si>
  <si>
    <t xml:space="preserve">Jumlah coder: 4 | Jenis data: Nominal | 20 unit</t>
  </si>
  <si>
    <t xml:space="preserve">Jumlah coder: 3 | Jenis data: Ordinal | 15 unit</t>
  </si>
  <si>
    <t xml:space="preserve">Kategori (H10:H12): Positif, Netral, Negatif</t>
  </si>
  <si>
    <t xml:space="preserve">Kategori (H10:H14): 1, 2, 3, 4, 5 (urut rendah → tinggi)</t>
  </si>
  <si>
    <t xml:space="preserve">Sel kosong = coder tidak mengkode unit tsb.</t>
  </si>
  <si>
    <t xml:space="preserve">No. Unit</t>
  </si>
  <si>
    <t xml:space="preserve">Coder 1</t>
  </si>
  <si>
    <t xml:space="preserve">Coder 2</t>
  </si>
  <si>
    <t xml:space="preserve">Coder 3</t>
  </si>
  <si>
    <t xml:space="preserve">Coder 4</t>
  </si>
  <si>
    <t xml:space="preserve">Positif</t>
  </si>
  <si>
    <t xml:space="preserve">Netral</t>
  </si>
  <si>
    <t xml:space="preserve">Negatif</t>
  </si>
  <si>
    <t xml:space="preserve">Nilai acuan α</t>
  </si>
  <si>
    <t xml:space="preserve">Acuan = hasil implementasi terpisah di Python (dicocokkan dengan paket 'krippendorff'); nilai ini sengaja berupa angka tetap untuk verifikasi.</t>
  </si>
  <si>
    <t xml:space="preserve">Template Krippendorff's Alpha (α) – Reliabilitas Antar-Coder</t>
  </si>
  <si>
    <t xml:space="preserve">Sel kuning/biru = isi sendiri  |  Sel hitam = otomatis (jangan diubah)  |  Data mulai baris 5, satu baris = satu unit  |  Kosongkan sel bila coder tidak mengkode unit tsb.</t>
  </si>
  <si>
    <t xml:space="preserve">Jumlah data →</t>
  </si>
  <si>
    <t xml:space="preserve">PENGATURAN</t>
  </si>
  <si>
    <t xml:space="preserve">Claude</t>
  </si>
  <si>
    <t xml:space="preserve">Gemini</t>
  </si>
  <si>
    <t xml:space="preserve">Jumlah coder (2–4)</t>
  </si>
  <si>
    <t xml:space="preserve">K5</t>
  </si>
  <si>
    <t xml:space="preserve">Jenis data (Nominal / Ordinal)</t>
  </si>
  <si>
    <t xml:space="preserve">Nominal</t>
  </si>
  <si>
    <t xml:space="preserve">Nama variabel (opsional)</t>
  </si>
  <si>
    <t xml:space="preserve">Relevansi</t>
  </si>
  <si>
    <t xml:space="preserve">K3</t>
  </si>
  <si>
    <t xml:space="preserve">DAFTAR KATEGORI (maks. 20)</t>
  </si>
  <si>
    <t xml:space="preserve">K4</t>
  </si>
  <si>
    <t xml:space="preserve">Urutan</t>
  </si>
  <si>
    <t xml:space="preserve">Kategori / kode (ordinal: rendah → tinggi)</t>
  </si>
  <si>
    <t xml:space="preserve">K1</t>
  </si>
  <si>
    <t xml:space="preserve">K2</t>
  </si>
  <si>
    <t xml:space="preserve">HASIL</t>
  </si>
  <si>
    <t xml:space="preserve">Krippendorff's Alpha (α)</t>
  </si>
  <si>
    <t xml:space="preserve">Interpretasi</t>
  </si>
  <si>
    <t xml:space="preserve">Jumlah unit terisi (N)</t>
  </si>
  <si>
    <t xml:space="preserve">Unit dipasangkan (≥2 nilai)</t>
  </si>
  <si>
    <t xml:space="preserve">Total nilai dipasangkan (n)</t>
  </si>
  <si>
    <t xml:space="preserve">Kesepakatan teramati</t>
  </si>
  <si>
    <t xml:space="preserve">Status data</t>
  </si>
  <si>
    <t xml:space="preserve">Perhitungan per Unit (otomatis – jangan diubah)</t>
  </si>
  <si>
    <t xml:space="preserve">Kolom B–E: indeks kategori tiap coder · F: jumlah nilai (m) · G: entri tidak valid · H: bobot 1/(m−1) · I–AB: jumlah nilai per kategori (n_uk)</t>
  </si>
  <si>
    <t xml:space="preserve">Indeks →</t>
  </si>
  <si>
    <t xml:space="preserve">Unit</t>
  </si>
  <si>
    <t xml:space="preserve">m</t>
  </si>
  <si>
    <t xml:space="preserve">ERR</t>
  </si>
  <si>
    <t xml:space="preserve">Bobot</t>
  </si>
  <si>
    <t xml:space="preserve">Hasil Perhitungan Krippendorff's Alpha</t>
  </si>
  <si>
    <t xml:space="preserve">Seluruh sel pada sheet ini otomatis (rumus). Alpha = 1 − Do/De.</t>
  </si>
  <si>
    <t xml:space="preserve">RINGKASAN</t>
  </si>
  <si>
    <t xml:space="preserve">Jenis data</t>
  </si>
  <si>
    <t xml:space="preserve">Jumlah coder</t>
  </si>
  <si>
    <t xml:space="preserve">Unit dapat dipasangkan (≥2 nilai)</t>
  </si>
  <si>
    <t xml:space="preserve">Do – disagreement teramati</t>
  </si>
  <si>
    <t xml:space="preserve">De – disagreement diharapkan</t>
  </si>
  <si>
    <t xml:space="preserve">KRIPPENDORFF'S ALPHA (α)</t>
  </si>
  <si>
    <t xml:space="preserve">Kesepakatan teramati (persen)</t>
  </si>
  <si>
    <t xml:space="preserve">Entri di luar daftar kategori</t>
  </si>
  <si>
    <t xml:space="preserve">1. Matriks Koinsidensi (o_ck) – jumlah pasangan nilai antar-coder dalam unit yang sama</t>
  </si>
  <si>
    <t xml:space="preserve">c \ k</t>
  </si>
  <si>
    <t xml:space="preserve">Kategori</t>
  </si>
  <si>
    <t xml:space="preserve">n_c</t>
  </si>
  <si>
    <t xml:space="preserve">n</t>
  </si>
  <si>
    <t xml:space="preserve">Total</t>
  </si>
  <si>
    <t xml:space="preserve">2. Matriks Harapan (e_ck) = n_c·n_k / (n−1)  (diagonal: n_c·(n_c−1)/(n−1))</t>
  </si>
  <si>
    <t xml:space="preserve">3. Matriks Selisih Kuadrat (δ²_ck) – nominal: 0/1; ordinal: (Σn_g − (n_c+n_k)/2)²</t>
  </si>
  <si>
    <t xml:space="preserve">Do = Σ o_ck·δ²_ck / n   ·   De = Σ e_ck·δ²_ck / n   ·   α = 1 − Do/De   (n = total nilai dalam unit yang dapat dipasangkan)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</si>
</sst>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"/>
    <numFmt numFmtId="166" formatCode="0.000"/>
    <numFmt numFmtId="167" formatCode="0"/>
    <numFmt numFmtId="168" formatCode="0.0%"/>
    <numFmt numFmtId="169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  <fill>
      <patternFill patternType="solid">
        <fgColor rgb="FFE2EFDA"/>
        <bgColor rgb="FFD9E2F3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AD"/>
        </patternFill>
      </fill>
    </dxf>
    <dxf>
      <fill>
        <patternFill>
          <bgColor rgb="FFD9D9D9"/>
        </patternFill>
      </fill>
    </dxf>
    <dxf>
      <font>
        <name val="Arial"/>
        <charset val="1"/>
        <family val="0"/>
        <color rgb="FFBFBFB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50E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00"/>
  </cols>
  <sheetData>
    <row r="1" customFormat="false" ht="17.3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  <c r="B3" s="3"/>
      <c r="C3" s="3"/>
    </row>
    <row r="4" customFormat="false" ht="15" hidden="false" customHeight="true" outlineLevel="0" collapsed="false">
      <c r="A4" s="4" t="s">
        <v>2</v>
      </c>
      <c r="B4" s="5" t="s">
        <v>3</v>
      </c>
      <c r="C4" s="5"/>
    </row>
    <row r="5" customFormat="false" ht="15" hidden="false" customHeight="true" outlineLevel="0" collapsed="false">
      <c r="A5" s="4" t="s">
        <v>2</v>
      </c>
      <c r="B5" s="5" t="s">
        <v>4</v>
      </c>
      <c r="C5" s="5"/>
    </row>
    <row r="6" customFormat="false" ht="15" hidden="false" customHeight="true" outlineLevel="0" collapsed="false">
      <c r="A6" s="4" t="s">
        <v>2</v>
      </c>
      <c r="B6" s="5" t="s">
        <v>5</v>
      </c>
      <c r="C6" s="5"/>
    </row>
    <row r="7" customFormat="false" ht="15" hidden="false" customHeight="true" outlineLevel="0" collapsed="false">
      <c r="A7" s="4" t="s">
        <v>2</v>
      </c>
      <c r="B7" s="5" t="s">
        <v>6</v>
      </c>
      <c r="C7" s="5"/>
    </row>
    <row r="9" customFormat="false" ht="15" hidden="false" customHeight="false" outlineLevel="0" collapsed="false">
      <c r="A9" s="3" t="s">
        <v>7</v>
      </c>
      <c r="B9" s="3"/>
      <c r="C9" s="3"/>
    </row>
    <row r="10" customFormat="false" ht="15" hidden="false" customHeight="true" outlineLevel="0" collapsed="false">
      <c r="A10" s="4" t="s">
        <v>8</v>
      </c>
      <c r="B10" s="5" t="s">
        <v>9</v>
      </c>
      <c r="C10" s="5"/>
    </row>
    <row r="11" customFormat="false" ht="15" hidden="false" customHeight="true" outlineLevel="0" collapsed="false">
      <c r="A11" s="4" t="s">
        <v>10</v>
      </c>
      <c r="B11" s="5" t="s">
        <v>11</v>
      </c>
      <c r="C11" s="5"/>
    </row>
    <row r="12" customFormat="false" ht="28.5" hidden="false" customHeight="true" outlineLevel="0" collapsed="false">
      <c r="A12" s="4" t="s">
        <v>12</v>
      </c>
      <c r="B12" s="5" t="s">
        <v>13</v>
      </c>
      <c r="C12" s="5"/>
    </row>
    <row r="13" customFormat="false" ht="28.5" hidden="false" customHeight="true" outlineLevel="0" collapsed="false">
      <c r="A13" s="4" t="s">
        <v>14</v>
      </c>
      <c r="B13" s="5" t="s">
        <v>15</v>
      </c>
      <c r="C13" s="5"/>
    </row>
    <row r="14" customFormat="false" ht="15" hidden="false" customHeight="true" outlineLevel="0" collapsed="false">
      <c r="A14" s="4" t="s">
        <v>16</v>
      </c>
      <c r="B14" s="5" t="s">
        <v>17</v>
      </c>
      <c r="C14" s="5"/>
    </row>
    <row r="15" customFormat="false" ht="28.5" hidden="false" customHeight="true" outlineLevel="0" collapsed="false">
      <c r="A15" s="4" t="s">
        <v>18</v>
      </c>
      <c r="B15" s="5" t="s">
        <v>19</v>
      </c>
      <c r="C15" s="5"/>
    </row>
    <row r="16" customFormat="false" ht="28.5" hidden="false" customHeight="true" outlineLevel="0" collapsed="false">
      <c r="A16" s="4" t="s">
        <v>20</v>
      </c>
      <c r="B16" s="5" t="s">
        <v>21</v>
      </c>
      <c r="C16" s="5"/>
    </row>
    <row r="18" customFormat="false" ht="15" hidden="false" customHeight="false" outlineLevel="0" collapsed="false">
      <c r="A18" s="3" t="s">
        <v>22</v>
      </c>
      <c r="B18" s="3"/>
      <c r="C18" s="3"/>
    </row>
    <row r="19" customFormat="false" ht="15" hidden="false" customHeight="true" outlineLevel="0" collapsed="false">
      <c r="A19" s="4"/>
      <c r="B19" s="6" t="s">
        <v>23</v>
      </c>
      <c r="C19" s="6" t="s">
        <v>24</v>
      </c>
    </row>
    <row r="20" customFormat="false" ht="28.5" hidden="false" customHeight="true" outlineLevel="0" collapsed="false">
      <c r="A20" s="4"/>
      <c r="B20" s="6" t="s">
        <v>25</v>
      </c>
      <c r="C20" s="6" t="s">
        <v>26</v>
      </c>
    </row>
    <row r="21" customFormat="false" ht="28.5" hidden="false" customHeight="true" outlineLevel="0" collapsed="false">
      <c r="A21" s="4"/>
      <c r="B21" s="6" t="s">
        <v>27</v>
      </c>
      <c r="C21" s="6" t="s">
        <v>28</v>
      </c>
    </row>
    <row r="22" customFormat="false" ht="15" hidden="false" customHeight="true" outlineLevel="0" collapsed="false">
      <c r="A22" s="4"/>
      <c r="B22" s="6" t="s">
        <v>29</v>
      </c>
      <c r="C22" s="6" t="s">
        <v>30</v>
      </c>
    </row>
    <row r="24" customFormat="false" ht="15" hidden="false" customHeight="false" outlineLevel="0" collapsed="false">
      <c r="A24" s="3" t="s">
        <v>31</v>
      </c>
      <c r="B24" s="3"/>
      <c r="C24" s="3"/>
    </row>
    <row r="25" customFormat="false" ht="15" hidden="false" customHeight="true" outlineLevel="0" collapsed="false">
      <c r="A25" s="4"/>
      <c r="B25" s="6" t="s">
        <v>32</v>
      </c>
      <c r="C25" s="6" t="s">
        <v>33</v>
      </c>
    </row>
    <row r="26" customFormat="false" ht="15" hidden="false" customHeight="true" outlineLevel="0" collapsed="false">
      <c r="A26" s="4"/>
      <c r="B26" s="6" t="s">
        <v>34</v>
      </c>
      <c r="C26" s="6" t="s">
        <v>35</v>
      </c>
    </row>
    <row r="27" customFormat="false" ht="28.5" hidden="false" customHeight="true" outlineLevel="0" collapsed="false">
      <c r="A27" s="4"/>
      <c r="B27" s="6" t="s">
        <v>36</v>
      </c>
      <c r="C27" s="6" t="s">
        <v>37</v>
      </c>
    </row>
    <row r="28" customFormat="false" ht="15" hidden="false" customHeight="true" outlineLevel="0" collapsed="false">
      <c r="A28" s="4"/>
      <c r="B28" s="6" t="s">
        <v>38</v>
      </c>
      <c r="C28" s="6" t="s">
        <v>39</v>
      </c>
    </row>
    <row r="29" customFormat="false" ht="15" hidden="false" customHeight="true" outlineLevel="0" collapsed="false">
      <c r="A29" s="4"/>
      <c r="B29" s="6" t="s">
        <v>40</v>
      </c>
      <c r="C29" s="6" t="s">
        <v>41</v>
      </c>
    </row>
    <row r="31" customFormat="false" ht="15" hidden="false" customHeight="false" outlineLevel="0" collapsed="false">
      <c r="A31" s="3" t="s">
        <v>42</v>
      </c>
      <c r="B31" s="3"/>
      <c r="C31" s="3"/>
    </row>
    <row r="32" customFormat="false" ht="15" hidden="false" customHeight="true" outlineLevel="0" collapsed="false">
      <c r="A32" s="4"/>
      <c r="B32" s="6" t="s">
        <v>43</v>
      </c>
      <c r="C32" s="6" t="s">
        <v>44</v>
      </c>
    </row>
    <row r="33" customFormat="false" ht="15" hidden="false" customHeight="true" outlineLevel="0" collapsed="false">
      <c r="A33" s="4"/>
      <c r="B33" s="6" t="s">
        <v>45</v>
      </c>
      <c r="C33" s="6" t="s">
        <v>46</v>
      </c>
    </row>
    <row r="34" customFormat="false" ht="15" hidden="false" customHeight="true" outlineLevel="0" collapsed="false">
      <c r="A34" s="4"/>
      <c r="B34" s="6" t="s">
        <v>47</v>
      </c>
      <c r="C34" s="6" t="s">
        <v>48</v>
      </c>
    </row>
    <row r="35" customFormat="false" ht="28.5" hidden="false" customHeight="true" outlineLevel="0" collapsed="false">
      <c r="A35" s="4"/>
      <c r="B35" s="6" t="s">
        <v>49</v>
      </c>
      <c r="C35" s="6" t="s">
        <v>50</v>
      </c>
    </row>
    <row r="36" customFormat="false" ht="15" hidden="false" customHeight="true" outlineLevel="0" collapsed="false">
      <c r="A36" s="4"/>
      <c r="B36" s="6" t="s">
        <v>51</v>
      </c>
      <c r="C36" s="6" t="s">
        <v>52</v>
      </c>
    </row>
    <row r="37" customFormat="false" ht="15" hidden="false" customHeight="true" outlineLevel="0" collapsed="false">
      <c r="A37" s="4"/>
      <c r="B37" s="6" t="s">
        <v>53</v>
      </c>
      <c r="C37" s="6" t="s">
        <v>54</v>
      </c>
    </row>
    <row r="38" customFormat="false" ht="15" hidden="false" customHeight="true" outlineLevel="0" collapsed="false">
      <c r="A38" s="4"/>
      <c r="B38" s="6" t="s">
        <v>55</v>
      </c>
      <c r="C38" s="6" t="s">
        <v>56</v>
      </c>
    </row>
    <row r="40" customFormat="false" ht="15" hidden="false" customHeight="false" outlineLevel="0" collapsed="false">
      <c r="A40" s="3" t="s">
        <v>57</v>
      </c>
      <c r="B40" s="3"/>
      <c r="C40" s="3"/>
    </row>
    <row r="41" customFormat="false" ht="15" hidden="false" customHeight="true" outlineLevel="0" collapsed="false">
      <c r="A41" s="4"/>
      <c r="B41" s="6" t="s">
        <v>58</v>
      </c>
      <c r="C41" s="6" t="s">
        <v>59</v>
      </c>
    </row>
    <row r="42" customFormat="false" ht="15" hidden="false" customHeight="true" outlineLevel="0" collapsed="false">
      <c r="A42" s="4"/>
      <c r="B42" s="6" t="s">
        <v>60</v>
      </c>
      <c r="C42" s="6" t="s">
        <v>61</v>
      </c>
    </row>
    <row r="43" customFormat="false" ht="28.5" hidden="false" customHeight="true" outlineLevel="0" collapsed="false">
      <c r="A43" s="4"/>
      <c r="B43" s="6" t="s">
        <v>62</v>
      </c>
      <c r="C43" s="6" t="s">
        <v>63</v>
      </c>
    </row>
    <row r="44" customFormat="false" ht="28.5" hidden="false" customHeight="true" outlineLevel="0" collapsed="false">
      <c r="A44" s="4"/>
      <c r="B44" s="6" t="s">
        <v>64</v>
      </c>
      <c r="C44" s="6" t="s">
        <v>65</v>
      </c>
    </row>
    <row r="45" customFormat="false" ht="28.5" hidden="false" customHeight="true" outlineLevel="0" collapsed="false">
      <c r="A45" s="4"/>
      <c r="B45" s="6" t="s">
        <v>66</v>
      </c>
      <c r="C45" s="6" t="s">
        <v>67</v>
      </c>
    </row>
    <row r="46" customFormat="false" ht="15" hidden="false" customHeight="true" outlineLevel="0" collapsed="false">
      <c r="A46" s="4"/>
      <c r="B46" s="6" t="s">
        <v>68</v>
      </c>
      <c r="C46" s="6" t="s">
        <v>69</v>
      </c>
    </row>
    <row r="47" customFormat="false" ht="15" hidden="false" customHeight="true" outlineLevel="0" collapsed="false">
      <c r="A47" s="4"/>
      <c r="B47" s="6" t="s">
        <v>70</v>
      </c>
      <c r="C47" s="6" t="s">
        <v>71</v>
      </c>
    </row>
    <row r="49" customFormat="false" ht="15" hidden="false" customHeight="false" outlineLevel="0" collapsed="false">
      <c r="A49" s="3" t="s">
        <v>72</v>
      </c>
      <c r="B49" s="3"/>
      <c r="C49" s="3"/>
    </row>
    <row r="50" customFormat="false" ht="15" hidden="false" customHeight="true" outlineLevel="0" collapsed="false">
      <c r="A50" s="4"/>
      <c r="B50" s="6" t="s">
        <v>73</v>
      </c>
      <c r="C50" s="6" t="s">
        <v>74</v>
      </c>
    </row>
    <row r="51" customFormat="false" ht="15" hidden="false" customHeight="true" outlineLevel="0" collapsed="false">
      <c r="A51" s="4"/>
      <c r="B51" s="6" t="s">
        <v>75</v>
      </c>
      <c r="C51" s="6" t="s">
        <v>76</v>
      </c>
    </row>
  </sheetData>
  <mergeCells count="11">
    <mergeCell ref="B4:C4"/>
    <mergeCell ref="B5:C5"/>
    <mergeCell ref="B6:C6"/>
    <mergeCell ref="B7:C7"/>
    <mergeCell ref="B10:C10"/>
    <mergeCell ref="B11:C11"/>
    <mergeCell ref="B12:C12"/>
    <mergeCell ref="B13:C13"/>
    <mergeCell ref="B14:C14"/>
    <mergeCell ref="B15:C15"/>
    <mergeCell ref="B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5" min="2" style="1" width="11"/>
    <col collapsed="false" customWidth="true" hidden="false" outlineLevel="0" max="6" min="6" style="1" width="3"/>
    <col collapsed="false" customWidth="true" hidden="false" outlineLevel="0" max="7" min="7" style="1" width="12"/>
    <col collapsed="false" customWidth="true" hidden="false" outlineLevel="0" max="11" min="8" style="1" width="11"/>
    <col collapsed="false" customWidth="true" hidden="false" outlineLevel="0" max="12" min="12" style="1" width="3"/>
  </cols>
  <sheetData>
    <row r="1" customFormat="false" ht="17.35" hidden="false" customHeight="false" outlineLevel="0" collapsed="false">
      <c r="A1" s="2" t="s">
        <v>77</v>
      </c>
    </row>
    <row r="2" customFormat="false" ht="15" hidden="false" customHeight="false" outlineLevel="0" collapsed="false">
      <c r="A2" s="7" t="s">
        <v>78</v>
      </c>
    </row>
    <row r="4" customFormat="false" ht="15" hidden="false" customHeight="false" outlineLevel="0" collapsed="false">
      <c r="A4" s="3" t="s">
        <v>79</v>
      </c>
      <c r="B4" s="3"/>
      <c r="C4" s="3"/>
      <c r="D4" s="3"/>
      <c r="E4" s="3"/>
      <c r="G4" s="3" t="s">
        <v>80</v>
      </c>
      <c r="H4" s="3"/>
      <c r="I4" s="3"/>
      <c r="J4" s="3"/>
    </row>
    <row r="5" customFormat="false" ht="15" hidden="false" customHeight="false" outlineLevel="0" collapsed="false">
      <c r="A5" s="8" t="s">
        <v>81</v>
      </c>
      <c r="G5" s="8" t="s">
        <v>82</v>
      </c>
    </row>
    <row r="6" customFormat="false" ht="15" hidden="false" customHeight="false" outlineLevel="0" collapsed="false">
      <c r="A6" s="8" t="s">
        <v>83</v>
      </c>
      <c r="G6" s="8" t="s">
        <v>84</v>
      </c>
    </row>
    <row r="7" customFormat="false" ht="15" hidden="false" customHeight="false" outlineLevel="0" collapsed="false">
      <c r="A7" s="8" t="s">
        <v>85</v>
      </c>
      <c r="G7" s="8" t="s">
        <v>85</v>
      </c>
    </row>
    <row r="9" customFormat="false" ht="15" hidden="false" customHeight="false" outlineLevel="0" collapsed="false">
      <c r="A9" s="9" t="s">
        <v>86</v>
      </c>
      <c r="B9" s="9" t="s">
        <v>87</v>
      </c>
      <c r="C9" s="9" t="s">
        <v>88</v>
      </c>
      <c r="D9" s="9" t="s">
        <v>89</v>
      </c>
      <c r="E9" s="9" t="s">
        <v>90</v>
      </c>
      <c r="G9" s="9" t="s">
        <v>86</v>
      </c>
      <c r="H9" s="9" t="s">
        <v>87</v>
      </c>
      <c r="I9" s="9" t="s">
        <v>88</v>
      </c>
      <c r="J9" s="9" t="s">
        <v>89</v>
      </c>
    </row>
    <row r="10" customFormat="false" ht="15" hidden="false" customHeight="false" outlineLevel="0" collapsed="false">
      <c r="A10" s="10" t="n">
        <v>1</v>
      </c>
      <c r="B10" s="11" t="s">
        <v>91</v>
      </c>
      <c r="C10" s="11" t="s">
        <v>91</v>
      </c>
      <c r="D10" s="11" t="s">
        <v>91</v>
      </c>
      <c r="E10" s="11" t="s">
        <v>91</v>
      </c>
      <c r="G10" s="10" t="n">
        <v>1</v>
      </c>
      <c r="H10" s="11" t="n">
        <v>4</v>
      </c>
      <c r="I10" s="11" t="n">
        <v>4</v>
      </c>
      <c r="J10" s="11" t="n">
        <v>5</v>
      </c>
    </row>
    <row r="11" customFormat="false" ht="15" hidden="false" customHeight="false" outlineLevel="0" collapsed="false">
      <c r="A11" s="10" t="n">
        <v>2</v>
      </c>
      <c r="B11" s="11" t="s">
        <v>91</v>
      </c>
      <c r="C11" s="11" t="s">
        <v>91</v>
      </c>
      <c r="D11" s="11" t="s">
        <v>91</v>
      </c>
      <c r="E11" s="11" t="s">
        <v>92</v>
      </c>
      <c r="G11" s="10" t="n">
        <v>2</v>
      </c>
      <c r="H11" s="11" t="n">
        <v>3</v>
      </c>
      <c r="I11" s="11" t="n">
        <v>3</v>
      </c>
      <c r="J11" s="11" t="n">
        <v>3</v>
      </c>
    </row>
    <row r="12" customFormat="false" ht="15" hidden="false" customHeight="false" outlineLevel="0" collapsed="false">
      <c r="A12" s="10" t="n">
        <v>3</v>
      </c>
      <c r="B12" s="11" t="s">
        <v>92</v>
      </c>
      <c r="C12" s="11" t="s">
        <v>92</v>
      </c>
      <c r="D12" s="11" t="s">
        <v>92</v>
      </c>
      <c r="E12" s="11" t="s">
        <v>92</v>
      </c>
      <c r="G12" s="10" t="n">
        <v>3</v>
      </c>
      <c r="H12" s="11" t="n">
        <v>5</v>
      </c>
      <c r="I12" s="11" t="n">
        <v>5</v>
      </c>
      <c r="J12" s="11" t="n">
        <v>5</v>
      </c>
    </row>
    <row r="13" customFormat="false" ht="15" hidden="false" customHeight="false" outlineLevel="0" collapsed="false">
      <c r="A13" s="10" t="n">
        <v>4</v>
      </c>
      <c r="B13" s="11" t="s">
        <v>93</v>
      </c>
      <c r="C13" s="11" t="s">
        <v>93</v>
      </c>
      <c r="D13" s="11" t="s">
        <v>93</v>
      </c>
      <c r="E13" s="11" t="s">
        <v>93</v>
      </c>
      <c r="G13" s="10" t="n">
        <v>4</v>
      </c>
      <c r="H13" s="11" t="n">
        <v>2</v>
      </c>
      <c r="I13" s="11" t="n">
        <v>3</v>
      </c>
      <c r="J13" s="11" t="n">
        <v>2</v>
      </c>
    </row>
    <row r="14" customFormat="false" ht="15" hidden="false" customHeight="false" outlineLevel="0" collapsed="false">
      <c r="A14" s="10" t="n">
        <v>5</v>
      </c>
      <c r="B14" s="11" t="s">
        <v>91</v>
      </c>
      <c r="C14" s="11" t="s">
        <v>91</v>
      </c>
      <c r="D14" s="11" t="s">
        <v>92</v>
      </c>
      <c r="E14" s="11" t="s">
        <v>91</v>
      </c>
      <c r="G14" s="10" t="n">
        <v>5</v>
      </c>
      <c r="H14" s="11" t="n">
        <v>1</v>
      </c>
      <c r="I14" s="11" t="n">
        <v>1</v>
      </c>
      <c r="J14" s="11" t="n">
        <v>2</v>
      </c>
    </row>
    <row r="15" customFormat="false" ht="15" hidden="false" customHeight="false" outlineLevel="0" collapsed="false">
      <c r="A15" s="10" t="n">
        <v>6</v>
      </c>
      <c r="B15" s="11" t="s">
        <v>93</v>
      </c>
      <c r="C15" s="11" t="s">
        <v>93</v>
      </c>
      <c r="D15" s="11" t="s">
        <v>92</v>
      </c>
      <c r="E15" s="11" t="s">
        <v>93</v>
      </c>
      <c r="G15" s="10" t="n">
        <v>6</v>
      </c>
      <c r="H15" s="11" t="n">
        <v>4</v>
      </c>
      <c r="I15" s="11" t="n">
        <v>5</v>
      </c>
      <c r="J15" s="11" t="n">
        <v>4</v>
      </c>
    </row>
    <row r="16" customFormat="false" ht="15" hidden="false" customHeight="false" outlineLevel="0" collapsed="false">
      <c r="A16" s="10" t="n">
        <v>7</v>
      </c>
      <c r="B16" s="11" t="s">
        <v>92</v>
      </c>
      <c r="C16" s="11" t="s">
        <v>92</v>
      </c>
      <c r="D16" s="11" t="s">
        <v>91</v>
      </c>
      <c r="E16" s="11" t="s">
        <v>92</v>
      </c>
      <c r="G16" s="10" t="n">
        <v>7</v>
      </c>
      <c r="H16" s="11" t="n">
        <v>3</v>
      </c>
      <c r="I16" s="11" t="n">
        <v>4</v>
      </c>
      <c r="J16" s="11" t="n">
        <v>3</v>
      </c>
    </row>
    <row r="17" customFormat="false" ht="15" hidden="false" customHeight="false" outlineLevel="0" collapsed="false">
      <c r="A17" s="10" t="n">
        <v>8</v>
      </c>
      <c r="B17" s="11" t="s">
        <v>91</v>
      </c>
      <c r="C17" s="11" t="s">
        <v>91</v>
      </c>
      <c r="D17" s="11" t="s">
        <v>91</v>
      </c>
      <c r="E17" s="11" t="s">
        <v>91</v>
      </c>
      <c r="G17" s="10" t="n">
        <v>8</v>
      </c>
      <c r="H17" s="11" t="n">
        <v>2</v>
      </c>
      <c r="I17" s="11" t="n">
        <v>2</v>
      </c>
      <c r="J17" s="11" t="n">
        <v>2</v>
      </c>
    </row>
    <row r="18" customFormat="false" ht="15" hidden="false" customHeight="false" outlineLevel="0" collapsed="false">
      <c r="A18" s="10" t="n">
        <v>9</v>
      </c>
      <c r="B18" s="11" t="s">
        <v>93</v>
      </c>
      <c r="C18" s="11" t="s">
        <v>92</v>
      </c>
      <c r="D18" s="11" t="s">
        <v>93</v>
      </c>
      <c r="E18" s="11" t="s">
        <v>93</v>
      </c>
      <c r="G18" s="10" t="n">
        <v>9</v>
      </c>
      <c r="H18" s="11" t="n">
        <v>5</v>
      </c>
      <c r="I18" s="11" t="n">
        <v>4</v>
      </c>
      <c r="J18" s="11" t="n">
        <v>5</v>
      </c>
    </row>
    <row r="19" customFormat="false" ht="15" hidden="false" customHeight="false" outlineLevel="0" collapsed="false">
      <c r="A19" s="10" t="n">
        <v>10</v>
      </c>
      <c r="B19" s="11" t="s">
        <v>92</v>
      </c>
      <c r="C19" s="11" t="s">
        <v>92</v>
      </c>
      <c r="D19" s="11" t="s">
        <v>92</v>
      </c>
      <c r="E19" s="11" t="s">
        <v>93</v>
      </c>
      <c r="G19" s="10" t="n">
        <v>10</v>
      </c>
      <c r="H19" s="11" t="n">
        <v>1</v>
      </c>
      <c r="I19" s="11" t="n">
        <v>2</v>
      </c>
      <c r="J19" s="11" t="n">
        <v>1</v>
      </c>
    </row>
    <row r="20" customFormat="false" ht="15" hidden="false" customHeight="false" outlineLevel="0" collapsed="false">
      <c r="A20" s="10" t="n">
        <v>11</v>
      </c>
      <c r="B20" s="11" t="s">
        <v>91</v>
      </c>
      <c r="C20" s="11" t="s">
        <v>91</v>
      </c>
      <c r="D20" s="11" t="s">
        <v>91</v>
      </c>
      <c r="E20" s="11" t="s">
        <v>91</v>
      </c>
      <c r="G20" s="10" t="n">
        <v>11</v>
      </c>
      <c r="H20" s="11" t="n">
        <v>3</v>
      </c>
      <c r="I20" s="11" t="n">
        <v>3</v>
      </c>
      <c r="J20" s="11" t="n">
        <v>4</v>
      </c>
    </row>
    <row r="21" customFormat="false" ht="15" hidden="false" customHeight="false" outlineLevel="0" collapsed="false">
      <c r="A21" s="10" t="n">
        <v>12</v>
      </c>
      <c r="B21" s="11" t="s">
        <v>93</v>
      </c>
      <c r="C21" s="11" t="s">
        <v>93</v>
      </c>
      <c r="D21" s="11" t="s">
        <v>93</v>
      </c>
      <c r="E21" s="11" t="s">
        <v>93</v>
      </c>
      <c r="G21" s="10" t="n">
        <v>12</v>
      </c>
      <c r="H21" s="11" t="n">
        <v>4</v>
      </c>
      <c r="I21" s="11" t="n">
        <v>4</v>
      </c>
      <c r="J21" s="11" t="n">
        <v>4</v>
      </c>
    </row>
    <row r="22" customFormat="false" ht="15" hidden="false" customHeight="false" outlineLevel="0" collapsed="false">
      <c r="A22" s="10" t="n">
        <v>13</v>
      </c>
      <c r="B22" s="11" t="s">
        <v>92</v>
      </c>
      <c r="C22" s="11" t="s">
        <v>91</v>
      </c>
      <c r="D22" s="11" t="s">
        <v>92</v>
      </c>
      <c r="E22" s="11" t="s">
        <v>92</v>
      </c>
      <c r="G22" s="10" t="n">
        <v>13</v>
      </c>
      <c r="H22" s="11" t="n">
        <v>2</v>
      </c>
      <c r="I22" s="11" t="n">
        <v>1</v>
      </c>
      <c r="J22" s="11" t="n">
        <v>2</v>
      </c>
    </row>
    <row r="23" customFormat="false" ht="15" hidden="false" customHeight="false" outlineLevel="0" collapsed="false">
      <c r="A23" s="10" t="n">
        <v>14</v>
      </c>
      <c r="B23" s="11" t="s">
        <v>91</v>
      </c>
      <c r="C23" s="11" t="s">
        <v>91</v>
      </c>
      <c r="D23" s="11" t="s">
        <v>92</v>
      </c>
      <c r="E23" s="11" t="s">
        <v>91</v>
      </c>
      <c r="G23" s="10" t="n">
        <v>14</v>
      </c>
      <c r="H23" s="11" t="n">
        <v>5</v>
      </c>
      <c r="I23" s="11" t="n">
        <v>5</v>
      </c>
      <c r="J23" s="11" t="n">
        <v>4</v>
      </c>
    </row>
    <row r="24" customFormat="false" ht="15" hidden="false" customHeight="false" outlineLevel="0" collapsed="false">
      <c r="A24" s="10" t="n">
        <v>15</v>
      </c>
      <c r="B24" s="11" t="s">
        <v>93</v>
      </c>
      <c r="C24" s="11" t="s">
        <v>93</v>
      </c>
      <c r="D24" s="11" t="s">
        <v>93</v>
      </c>
      <c r="E24" s="11" t="s">
        <v>92</v>
      </c>
      <c r="G24" s="10" t="n">
        <v>15</v>
      </c>
      <c r="H24" s="11" t="n">
        <v>3</v>
      </c>
      <c r="I24" s="11" t="n">
        <v>3</v>
      </c>
      <c r="J24" s="11"/>
    </row>
    <row r="25" customFormat="false" ht="15" hidden="false" customHeight="false" outlineLevel="0" collapsed="false">
      <c r="A25" s="10" t="n">
        <v>16</v>
      </c>
      <c r="B25" s="11" t="s">
        <v>92</v>
      </c>
      <c r="C25" s="11" t="s">
        <v>92</v>
      </c>
      <c r="D25" s="11" t="s">
        <v>92</v>
      </c>
      <c r="E25" s="11" t="s">
        <v>92</v>
      </c>
    </row>
    <row r="26" customFormat="false" ht="15" hidden="false" customHeight="false" outlineLevel="0" collapsed="false">
      <c r="A26" s="10" t="n">
        <v>17</v>
      </c>
      <c r="B26" s="11" t="s">
        <v>91</v>
      </c>
      <c r="C26" s="11" t="s">
        <v>91</v>
      </c>
      <c r="D26" s="11" t="s">
        <v>91</v>
      </c>
      <c r="E26" s="11"/>
      <c r="G26" s="12" t="s">
        <v>94</v>
      </c>
      <c r="J26" s="13" t="n">
        <v>0.8762</v>
      </c>
    </row>
    <row r="27" customFormat="false" ht="15" hidden="false" customHeight="false" outlineLevel="0" collapsed="false">
      <c r="A27" s="10" t="n">
        <v>18</v>
      </c>
      <c r="B27" s="11" t="s">
        <v>93</v>
      </c>
      <c r="C27" s="11" t="s">
        <v>93</v>
      </c>
      <c r="D27" s="11"/>
      <c r="E27" s="11" t="s">
        <v>93</v>
      </c>
      <c r="G27" s="7" t="s">
        <v>95</v>
      </c>
    </row>
    <row r="28" customFormat="false" ht="15" hidden="false" customHeight="false" outlineLevel="0" collapsed="false">
      <c r="A28" s="10" t="n">
        <v>19</v>
      </c>
      <c r="B28" s="11" t="s">
        <v>92</v>
      </c>
      <c r="C28" s="11" t="s">
        <v>91</v>
      </c>
      <c r="D28" s="11" t="s">
        <v>92</v>
      </c>
      <c r="E28" s="11" t="s">
        <v>92</v>
      </c>
    </row>
    <row r="29" customFormat="false" ht="15" hidden="false" customHeight="false" outlineLevel="0" collapsed="false">
      <c r="A29" s="10" t="n">
        <v>20</v>
      </c>
      <c r="B29" s="11" t="s">
        <v>91</v>
      </c>
      <c r="C29" s="11"/>
      <c r="D29" s="11" t="s">
        <v>91</v>
      </c>
      <c r="E29" s="11" t="s">
        <v>91</v>
      </c>
    </row>
    <row r="31" customFormat="false" ht="15" hidden="false" customHeight="false" outlineLevel="0" collapsed="false">
      <c r="A31" s="12" t="s">
        <v>94</v>
      </c>
      <c r="D31" s="13" t="n">
        <v>0.6115</v>
      </c>
    </row>
    <row r="32" customFormat="false" ht="15" hidden="false" customHeight="false" outlineLevel="0" collapsed="false">
      <c r="A32" s="7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950E"/>
    <pageSetUpPr fitToPage="true"/>
  </sheetPr>
  <dimension ref="A1:H10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H21" activeCellId="0" sqref="H2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5.32"/>
    <col collapsed="false" customWidth="true" hidden="false" outlineLevel="0" max="5" min="2" style="1" width="10.21"/>
    <col collapsed="false" customWidth="true" hidden="false" outlineLevel="0" max="6" min="6" style="1" width="2.55"/>
    <col collapsed="false" customWidth="true" hidden="false" outlineLevel="0" max="7" min="7" style="1" width="20.43"/>
    <col collapsed="false" customWidth="true" hidden="false" outlineLevel="0" max="8" min="8" style="1" width="38.31"/>
  </cols>
  <sheetData>
    <row r="1" customFormat="false" ht="17.35" hidden="false" customHeight="false" outlineLevel="0" collapsed="false">
      <c r="A1" s="2" t="s">
        <v>96</v>
      </c>
    </row>
    <row r="2" customFormat="false" ht="15" hidden="false" customHeight="false" outlineLevel="0" collapsed="false">
      <c r="A2" s="7" t="s">
        <v>97</v>
      </c>
    </row>
    <row r="3" customFormat="false" ht="15" hidden="false" customHeight="false" outlineLevel="0" collapsed="false">
      <c r="A3" s="14" t="s">
        <v>98</v>
      </c>
      <c r="B3" s="15" t="n">
        <f aca="false">IF(1&lt;=$H$4,COUNTA(B5:B104),"-")</f>
        <v>12</v>
      </c>
      <c r="C3" s="15" t="n">
        <f aca="false">IF(2&lt;=$H$4,COUNTA(C5:C104),"-")</f>
        <v>12</v>
      </c>
      <c r="D3" s="15" t="n">
        <f aca="false">IF(3&lt;=$H$4,COUNTA(D5:D104),"-")</f>
        <v>0</v>
      </c>
      <c r="E3" s="15" t="str">
        <f aca="false">IF(4&lt;=$H$4,COUNTA(E5:E104),"-")</f>
        <v>-</v>
      </c>
      <c r="G3" s="3" t="s">
        <v>99</v>
      </c>
      <c r="H3" s="3"/>
    </row>
    <row r="4" customFormat="false" ht="15" hidden="false" customHeight="false" outlineLevel="0" collapsed="false">
      <c r="A4" s="9" t="s">
        <v>86</v>
      </c>
      <c r="B4" s="9" t="s">
        <v>100</v>
      </c>
      <c r="C4" s="9" t="s">
        <v>101</v>
      </c>
      <c r="D4" s="9"/>
      <c r="E4" s="9"/>
      <c r="G4" s="16" t="s">
        <v>102</v>
      </c>
      <c r="H4" s="17" t="n">
        <v>3</v>
      </c>
    </row>
    <row r="5" customFormat="false" ht="15" hidden="false" customHeight="false" outlineLevel="0" collapsed="false">
      <c r="A5" s="10" t="n">
        <v>1</v>
      </c>
      <c r="B5" s="11" t="s">
        <v>103</v>
      </c>
      <c r="C5" s="11" t="s">
        <v>103</v>
      </c>
      <c r="D5" s="11"/>
      <c r="E5" s="11"/>
      <c r="G5" s="16" t="s">
        <v>104</v>
      </c>
      <c r="H5" s="17" t="s">
        <v>105</v>
      </c>
    </row>
    <row r="6" customFormat="false" ht="15" hidden="false" customHeight="false" outlineLevel="0" collapsed="false">
      <c r="A6" s="10" t="n">
        <v>2</v>
      </c>
      <c r="B6" s="11" t="s">
        <v>103</v>
      </c>
      <c r="C6" s="11" t="s">
        <v>103</v>
      </c>
      <c r="D6" s="11"/>
      <c r="E6" s="11"/>
      <c r="G6" s="16" t="s">
        <v>106</v>
      </c>
      <c r="H6" s="17" t="s">
        <v>107</v>
      </c>
    </row>
    <row r="7" customFormat="false" ht="15" hidden="false" customHeight="false" outlineLevel="0" collapsed="false">
      <c r="A7" s="10" t="n">
        <v>3</v>
      </c>
      <c r="B7" s="11" t="s">
        <v>103</v>
      </c>
      <c r="C7" s="11" t="s">
        <v>103</v>
      </c>
      <c r="D7" s="11"/>
      <c r="E7" s="11"/>
    </row>
    <row r="8" customFormat="false" ht="15" hidden="false" customHeight="false" outlineLevel="0" collapsed="false">
      <c r="A8" s="10" t="n">
        <v>4</v>
      </c>
      <c r="B8" s="11" t="s">
        <v>108</v>
      </c>
      <c r="C8" s="11" t="s">
        <v>108</v>
      </c>
      <c r="D8" s="11"/>
      <c r="E8" s="11"/>
      <c r="G8" s="3" t="s">
        <v>109</v>
      </c>
      <c r="H8" s="3"/>
    </row>
    <row r="9" customFormat="false" ht="15" hidden="false" customHeight="false" outlineLevel="0" collapsed="false">
      <c r="A9" s="10" t="n">
        <v>5</v>
      </c>
      <c r="B9" s="11" t="s">
        <v>110</v>
      </c>
      <c r="C9" s="11" t="s">
        <v>110</v>
      </c>
      <c r="D9" s="11"/>
      <c r="E9" s="11"/>
      <c r="G9" s="15" t="s">
        <v>111</v>
      </c>
      <c r="H9" s="15" t="s">
        <v>112</v>
      </c>
    </row>
    <row r="10" customFormat="false" ht="15" hidden="false" customHeight="false" outlineLevel="0" collapsed="false">
      <c r="A10" s="10" t="n">
        <v>6</v>
      </c>
      <c r="B10" s="11" t="s">
        <v>110</v>
      </c>
      <c r="C10" s="11" t="s">
        <v>110</v>
      </c>
      <c r="D10" s="11"/>
      <c r="E10" s="11"/>
      <c r="G10" s="10" t="n">
        <v>1</v>
      </c>
      <c r="H10" s="17" t="s">
        <v>113</v>
      </c>
    </row>
    <row r="11" customFormat="false" ht="15" hidden="false" customHeight="false" outlineLevel="0" collapsed="false">
      <c r="A11" s="10" t="n">
        <v>7</v>
      </c>
      <c r="B11" s="11" t="s">
        <v>108</v>
      </c>
      <c r="C11" s="11" t="s">
        <v>108</v>
      </c>
      <c r="D11" s="11"/>
      <c r="E11" s="11"/>
      <c r="G11" s="10" t="n">
        <v>2</v>
      </c>
      <c r="H11" s="17" t="s">
        <v>114</v>
      </c>
    </row>
    <row r="12" customFormat="false" ht="15" hidden="false" customHeight="false" outlineLevel="0" collapsed="false">
      <c r="A12" s="10" t="n">
        <v>8</v>
      </c>
      <c r="B12" s="11" t="s">
        <v>114</v>
      </c>
      <c r="C12" s="11" t="s">
        <v>114</v>
      </c>
      <c r="D12" s="11"/>
      <c r="E12" s="11"/>
      <c r="G12" s="10" t="n">
        <v>3</v>
      </c>
      <c r="H12" s="17" t="s">
        <v>108</v>
      </c>
    </row>
    <row r="13" customFormat="false" ht="15" hidden="false" customHeight="false" outlineLevel="0" collapsed="false">
      <c r="A13" s="10" t="n">
        <v>9</v>
      </c>
      <c r="B13" s="11" t="s">
        <v>114</v>
      </c>
      <c r="C13" s="11" t="s">
        <v>114</v>
      </c>
      <c r="D13" s="11"/>
      <c r="E13" s="11"/>
      <c r="G13" s="10" t="n">
        <v>4</v>
      </c>
      <c r="H13" s="17" t="s">
        <v>110</v>
      </c>
    </row>
    <row r="14" customFormat="false" ht="15" hidden="false" customHeight="false" outlineLevel="0" collapsed="false">
      <c r="A14" s="10" t="n">
        <v>10</v>
      </c>
      <c r="B14" s="11" t="s">
        <v>108</v>
      </c>
      <c r="C14" s="11" t="s">
        <v>108</v>
      </c>
      <c r="D14" s="11"/>
      <c r="E14" s="11"/>
      <c r="G14" s="10" t="n">
        <v>5</v>
      </c>
      <c r="H14" s="17" t="s">
        <v>103</v>
      </c>
    </row>
    <row r="15" customFormat="false" ht="15" hidden="false" customHeight="false" outlineLevel="0" collapsed="false">
      <c r="A15" s="10" t="n">
        <v>11</v>
      </c>
      <c r="B15" s="11" t="s">
        <v>110</v>
      </c>
      <c r="C15" s="11" t="s">
        <v>110</v>
      </c>
      <c r="D15" s="11"/>
      <c r="E15" s="11"/>
      <c r="G15" s="10" t="n">
        <v>6</v>
      </c>
      <c r="H15" s="17"/>
    </row>
    <row r="16" customFormat="false" ht="15" hidden="false" customHeight="false" outlineLevel="0" collapsed="false">
      <c r="A16" s="10" t="n">
        <v>12</v>
      </c>
      <c r="B16" s="11" t="s">
        <v>113</v>
      </c>
      <c r="C16" s="11" t="s">
        <v>113</v>
      </c>
      <c r="D16" s="11"/>
      <c r="E16" s="11"/>
      <c r="G16" s="10" t="n">
        <v>7</v>
      </c>
      <c r="H16" s="17"/>
    </row>
    <row r="17" customFormat="false" ht="15" hidden="false" customHeight="false" outlineLevel="0" collapsed="false">
      <c r="A17" s="10" t="n">
        <v>13</v>
      </c>
      <c r="B17" s="11"/>
      <c r="C17" s="11"/>
      <c r="D17" s="11"/>
      <c r="E17" s="11"/>
      <c r="G17" s="10" t="n">
        <v>8</v>
      </c>
      <c r="H17" s="17"/>
    </row>
    <row r="18" customFormat="false" ht="15" hidden="false" customHeight="false" outlineLevel="0" collapsed="false">
      <c r="A18" s="10" t="n">
        <v>14</v>
      </c>
      <c r="B18" s="11"/>
      <c r="C18" s="11"/>
      <c r="D18" s="11"/>
      <c r="E18" s="11"/>
      <c r="G18" s="10" t="n">
        <v>9</v>
      </c>
      <c r="H18" s="17"/>
    </row>
    <row r="19" customFormat="false" ht="15" hidden="false" customHeight="false" outlineLevel="0" collapsed="false">
      <c r="A19" s="10" t="n">
        <v>15</v>
      </c>
      <c r="B19" s="11"/>
      <c r="C19" s="11"/>
      <c r="D19" s="11"/>
      <c r="E19" s="11"/>
      <c r="G19" s="10" t="n">
        <v>10</v>
      </c>
      <c r="H19" s="17"/>
    </row>
    <row r="20" customFormat="false" ht="15" hidden="false" customHeight="false" outlineLevel="0" collapsed="false">
      <c r="A20" s="10" t="n">
        <v>16</v>
      </c>
      <c r="B20" s="11"/>
      <c r="C20" s="11"/>
      <c r="D20" s="11"/>
      <c r="E20" s="11"/>
      <c r="G20" s="10" t="n">
        <v>11</v>
      </c>
      <c r="H20" s="17"/>
    </row>
    <row r="21" customFormat="false" ht="15" hidden="false" customHeight="false" outlineLevel="0" collapsed="false">
      <c r="A21" s="10" t="n">
        <v>17</v>
      </c>
      <c r="B21" s="11"/>
      <c r="C21" s="11"/>
      <c r="D21" s="11"/>
      <c r="E21" s="11"/>
      <c r="G21" s="10" t="n">
        <v>12</v>
      </c>
      <c r="H21" s="17"/>
    </row>
    <row r="22" customFormat="false" ht="15" hidden="false" customHeight="false" outlineLevel="0" collapsed="false">
      <c r="A22" s="10" t="n">
        <v>18</v>
      </c>
      <c r="B22" s="11"/>
      <c r="C22" s="11"/>
      <c r="D22" s="11"/>
      <c r="E22" s="11"/>
      <c r="G22" s="10" t="n">
        <v>13</v>
      </c>
      <c r="H22" s="17"/>
    </row>
    <row r="23" customFormat="false" ht="15" hidden="false" customHeight="false" outlineLevel="0" collapsed="false">
      <c r="A23" s="10" t="n">
        <v>19</v>
      </c>
      <c r="B23" s="11"/>
      <c r="C23" s="11"/>
      <c r="D23" s="11"/>
      <c r="E23" s="11"/>
      <c r="G23" s="10" t="n">
        <v>14</v>
      </c>
      <c r="H23" s="17"/>
    </row>
    <row r="24" customFormat="false" ht="15" hidden="false" customHeight="false" outlineLevel="0" collapsed="false">
      <c r="A24" s="10" t="n">
        <v>20</v>
      </c>
      <c r="B24" s="11"/>
      <c r="C24" s="11"/>
      <c r="D24" s="11"/>
      <c r="E24" s="11"/>
      <c r="G24" s="10" t="n">
        <v>15</v>
      </c>
      <c r="H24" s="17"/>
    </row>
    <row r="25" customFormat="false" ht="15" hidden="false" customHeight="false" outlineLevel="0" collapsed="false">
      <c r="A25" s="10" t="n">
        <v>21</v>
      </c>
      <c r="B25" s="11"/>
      <c r="C25" s="11"/>
      <c r="D25" s="11"/>
      <c r="E25" s="11"/>
      <c r="G25" s="10" t="n">
        <v>16</v>
      </c>
      <c r="H25" s="17"/>
    </row>
    <row r="26" customFormat="false" ht="15" hidden="false" customHeight="false" outlineLevel="0" collapsed="false">
      <c r="A26" s="10" t="n">
        <v>22</v>
      </c>
      <c r="B26" s="11"/>
      <c r="C26" s="11"/>
      <c r="D26" s="11"/>
      <c r="E26" s="11"/>
      <c r="G26" s="10" t="n">
        <v>17</v>
      </c>
      <c r="H26" s="17"/>
    </row>
    <row r="27" customFormat="false" ht="15" hidden="false" customHeight="false" outlineLevel="0" collapsed="false">
      <c r="A27" s="10" t="n">
        <v>23</v>
      </c>
      <c r="B27" s="11"/>
      <c r="C27" s="11"/>
      <c r="D27" s="11"/>
      <c r="E27" s="11"/>
      <c r="G27" s="10" t="n">
        <v>18</v>
      </c>
      <c r="H27" s="17"/>
    </row>
    <row r="28" customFormat="false" ht="15" hidden="false" customHeight="false" outlineLevel="0" collapsed="false">
      <c r="A28" s="10" t="n">
        <v>24</v>
      </c>
      <c r="B28" s="11"/>
      <c r="C28" s="11"/>
      <c r="D28" s="11"/>
      <c r="E28" s="11"/>
      <c r="G28" s="10" t="n">
        <v>19</v>
      </c>
      <c r="H28" s="17"/>
    </row>
    <row r="29" customFormat="false" ht="15" hidden="false" customHeight="false" outlineLevel="0" collapsed="false">
      <c r="A29" s="10" t="n">
        <v>25</v>
      </c>
      <c r="B29" s="11"/>
      <c r="C29" s="11"/>
      <c r="D29" s="11"/>
      <c r="E29" s="11"/>
      <c r="G29" s="10" t="n">
        <v>20</v>
      </c>
      <c r="H29" s="17"/>
    </row>
    <row r="30" customFormat="false" ht="15" hidden="false" customHeight="false" outlineLevel="0" collapsed="false">
      <c r="A30" s="10" t="n">
        <v>26</v>
      </c>
      <c r="B30" s="11"/>
      <c r="C30" s="11"/>
      <c r="D30" s="11"/>
      <c r="E30" s="11"/>
    </row>
    <row r="31" customFormat="false" ht="15" hidden="false" customHeight="false" outlineLevel="0" collapsed="false">
      <c r="A31" s="10" t="n">
        <v>27</v>
      </c>
      <c r="B31" s="11"/>
      <c r="C31" s="11"/>
      <c r="D31" s="11"/>
      <c r="E31" s="11"/>
      <c r="G31" s="3" t="s">
        <v>115</v>
      </c>
      <c r="H31" s="3"/>
    </row>
    <row r="32" customFormat="false" ht="15" hidden="false" customHeight="false" outlineLevel="0" collapsed="false">
      <c r="A32" s="10" t="n">
        <v>28</v>
      </c>
      <c r="B32" s="11"/>
      <c r="C32" s="11"/>
      <c r="D32" s="11"/>
      <c r="E32" s="11"/>
      <c r="G32" s="18" t="s">
        <v>116</v>
      </c>
      <c r="H32" s="19" t="n">
        <f aca="false">Hasil_Alpha!F11</f>
        <v>1</v>
      </c>
    </row>
    <row r="33" customFormat="false" ht="15" hidden="false" customHeight="false" outlineLevel="0" collapsed="false">
      <c r="A33" s="10" t="n">
        <v>29</v>
      </c>
      <c r="B33" s="11"/>
      <c r="C33" s="11"/>
      <c r="D33" s="11"/>
      <c r="E33" s="11"/>
      <c r="G33" s="16" t="s">
        <v>117</v>
      </c>
      <c r="H33" s="20" t="str">
        <f aca="false">Hasil_Alpha!F12</f>
        <v>Reliabel (α ≥ 0,800)</v>
      </c>
    </row>
    <row r="34" customFormat="false" ht="15" hidden="false" customHeight="false" outlineLevel="0" collapsed="false">
      <c r="A34" s="10" t="n">
        <v>30</v>
      </c>
      <c r="B34" s="11"/>
      <c r="C34" s="11"/>
      <c r="D34" s="11"/>
      <c r="E34" s="11"/>
      <c r="G34" s="16" t="s">
        <v>118</v>
      </c>
      <c r="H34" s="21" t="n">
        <f aca="false">Hasil_Alpha!F6</f>
        <v>12</v>
      </c>
    </row>
    <row r="35" customFormat="false" ht="15" hidden="false" customHeight="false" outlineLevel="0" collapsed="false">
      <c r="A35" s="10" t="n">
        <v>31</v>
      </c>
      <c r="B35" s="11"/>
      <c r="C35" s="11"/>
      <c r="D35" s="11"/>
      <c r="E35" s="11"/>
      <c r="G35" s="16" t="s">
        <v>119</v>
      </c>
      <c r="H35" s="21" t="n">
        <f aca="false">Hasil_Alpha!F7</f>
        <v>12</v>
      </c>
    </row>
    <row r="36" customFormat="false" ht="15" hidden="false" customHeight="false" outlineLevel="0" collapsed="false">
      <c r="A36" s="10" t="n">
        <v>32</v>
      </c>
      <c r="B36" s="11"/>
      <c r="C36" s="11"/>
      <c r="D36" s="11"/>
      <c r="E36" s="11"/>
      <c r="G36" s="16" t="s">
        <v>120</v>
      </c>
      <c r="H36" s="21" t="n">
        <f aca="false">Hasil_Alpha!F8</f>
        <v>24</v>
      </c>
    </row>
    <row r="37" customFormat="false" ht="15" hidden="false" customHeight="false" outlineLevel="0" collapsed="false">
      <c r="A37" s="10" t="n">
        <v>33</v>
      </c>
      <c r="B37" s="11"/>
      <c r="C37" s="11"/>
      <c r="D37" s="11"/>
      <c r="E37" s="11"/>
      <c r="G37" s="16" t="s">
        <v>121</v>
      </c>
      <c r="H37" s="22" t="n">
        <f aca="false">Hasil_Alpha!F13</f>
        <v>1</v>
      </c>
    </row>
    <row r="38" customFormat="false" ht="15" hidden="false" customHeight="false" outlineLevel="0" collapsed="false">
      <c r="A38" s="10" t="n">
        <v>34</v>
      </c>
      <c r="B38" s="11"/>
      <c r="C38" s="11"/>
      <c r="D38" s="11"/>
      <c r="E38" s="11"/>
      <c r="G38" s="16" t="s">
        <v>122</v>
      </c>
      <c r="H38" s="23" t="str">
        <f aca="false">Hasil_Alpha!F15</f>
        <v>OK – data valid</v>
      </c>
    </row>
    <row r="39" customFormat="false" ht="15" hidden="false" customHeight="false" outlineLevel="0" collapsed="false">
      <c r="A39" s="10" t="n">
        <v>35</v>
      </c>
      <c r="B39" s="11"/>
      <c r="C39" s="11"/>
      <c r="D39" s="11"/>
      <c r="E39" s="11"/>
    </row>
    <row r="40" customFormat="false" ht="15" hidden="false" customHeight="false" outlineLevel="0" collapsed="false">
      <c r="A40" s="10" t="n">
        <v>36</v>
      </c>
      <c r="B40" s="11"/>
      <c r="C40" s="11"/>
      <c r="D40" s="11"/>
      <c r="E40" s="11"/>
    </row>
    <row r="41" customFormat="false" ht="15" hidden="false" customHeight="false" outlineLevel="0" collapsed="false">
      <c r="A41" s="10" t="n">
        <v>37</v>
      </c>
      <c r="B41" s="11"/>
      <c r="C41" s="11"/>
      <c r="D41" s="11"/>
      <c r="E41" s="11"/>
    </row>
    <row r="42" customFormat="false" ht="15" hidden="false" customHeight="false" outlineLevel="0" collapsed="false">
      <c r="A42" s="10" t="n">
        <v>38</v>
      </c>
      <c r="B42" s="11"/>
      <c r="C42" s="11"/>
      <c r="D42" s="11"/>
      <c r="E42" s="11"/>
    </row>
    <row r="43" customFormat="false" ht="15" hidden="false" customHeight="false" outlineLevel="0" collapsed="false">
      <c r="A43" s="10" t="n">
        <v>39</v>
      </c>
      <c r="B43" s="11"/>
      <c r="C43" s="11"/>
      <c r="D43" s="11"/>
      <c r="E43" s="11"/>
    </row>
    <row r="44" customFormat="false" ht="15" hidden="false" customHeight="false" outlineLevel="0" collapsed="false">
      <c r="A44" s="10" t="n">
        <v>40</v>
      </c>
      <c r="B44" s="11"/>
      <c r="C44" s="11"/>
      <c r="D44" s="11"/>
      <c r="E44" s="11"/>
    </row>
    <row r="45" customFormat="false" ht="15" hidden="false" customHeight="false" outlineLevel="0" collapsed="false">
      <c r="A45" s="10" t="n">
        <v>41</v>
      </c>
      <c r="B45" s="11"/>
      <c r="C45" s="11"/>
      <c r="D45" s="11"/>
      <c r="E45" s="11"/>
    </row>
    <row r="46" customFormat="false" ht="15" hidden="false" customHeight="false" outlineLevel="0" collapsed="false">
      <c r="A46" s="10" t="n">
        <v>42</v>
      </c>
      <c r="B46" s="11"/>
      <c r="C46" s="11"/>
      <c r="D46" s="11"/>
      <c r="E46" s="11"/>
    </row>
    <row r="47" customFormat="false" ht="15" hidden="false" customHeight="false" outlineLevel="0" collapsed="false">
      <c r="A47" s="10" t="n">
        <v>43</v>
      </c>
      <c r="B47" s="11"/>
      <c r="C47" s="11"/>
      <c r="D47" s="11"/>
      <c r="E47" s="11"/>
    </row>
    <row r="48" customFormat="false" ht="15" hidden="false" customHeight="false" outlineLevel="0" collapsed="false">
      <c r="A48" s="10" t="n">
        <v>44</v>
      </c>
      <c r="B48" s="11"/>
      <c r="C48" s="11"/>
      <c r="D48" s="11"/>
      <c r="E48" s="11"/>
    </row>
    <row r="49" customFormat="false" ht="15" hidden="false" customHeight="false" outlineLevel="0" collapsed="false">
      <c r="A49" s="10" t="n">
        <v>45</v>
      </c>
      <c r="B49" s="11"/>
      <c r="C49" s="11"/>
      <c r="D49" s="11"/>
      <c r="E49" s="11"/>
    </row>
    <row r="50" customFormat="false" ht="15" hidden="false" customHeight="false" outlineLevel="0" collapsed="false">
      <c r="A50" s="10" t="n">
        <v>46</v>
      </c>
      <c r="B50" s="11"/>
      <c r="C50" s="11"/>
      <c r="D50" s="11"/>
      <c r="E50" s="11"/>
    </row>
    <row r="51" customFormat="false" ht="15" hidden="false" customHeight="false" outlineLevel="0" collapsed="false">
      <c r="A51" s="10" t="n">
        <v>47</v>
      </c>
      <c r="B51" s="11"/>
      <c r="C51" s="11"/>
      <c r="D51" s="11"/>
      <c r="E51" s="11"/>
    </row>
    <row r="52" customFormat="false" ht="15" hidden="false" customHeight="false" outlineLevel="0" collapsed="false">
      <c r="A52" s="10" t="n">
        <v>48</v>
      </c>
      <c r="B52" s="11"/>
      <c r="C52" s="11"/>
      <c r="D52" s="11"/>
      <c r="E52" s="11"/>
    </row>
    <row r="53" customFormat="false" ht="15" hidden="false" customHeight="false" outlineLevel="0" collapsed="false">
      <c r="A53" s="10" t="n">
        <v>49</v>
      </c>
      <c r="B53" s="11"/>
      <c r="C53" s="11"/>
      <c r="D53" s="11"/>
      <c r="E53" s="11"/>
    </row>
    <row r="54" customFormat="false" ht="15" hidden="false" customHeight="false" outlineLevel="0" collapsed="false">
      <c r="A54" s="10" t="n">
        <v>50</v>
      </c>
      <c r="B54" s="11"/>
      <c r="C54" s="11"/>
      <c r="D54" s="11"/>
      <c r="E54" s="11"/>
    </row>
    <row r="55" customFormat="false" ht="15" hidden="false" customHeight="false" outlineLevel="0" collapsed="false">
      <c r="A55" s="10" t="n">
        <v>51</v>
      </c>
      <c r="B55" s="11"/>
      <c r="C55" s="11"/>
      <c r="D55" s="11"/>
      <c r="E55" s="11"/>
    </row>
    <row r="56" customFormat="false" ht="15" hidden="false" customHeight="false" outlineLevel="0" collapsed="false">
      <c r="A56" s="10" t="n">
        <v>52</v>
      </c>
      <c r="B56" s="11"/>
      <c r="C56" s="11"/>
      <c r="D56" s="11"/>
      <c r="E56" s="11"/>
    </row>
    <row r="57" customFormat="false" ht="15" hidden="false" customHeight="false" outlineLevel="0" collapsed="false">
      <c r="A57" s="10" t="n">
        <v>53</v>
      </c>
      <c r="B57" s="11"/>
      <c r="C57" s="11"/>
      <c r="D57" s="11"/>
      <c r="E57" s="11"/>
    </row>
    <row r="58" customFormat="false" ht="15" hidden="false" customHeight="false" outlineLevel="0" collapsed="false">
      <c r="A58" s="10" t="n">
        <v>54</v>
      </c>
      <c r="B58" s="11"/>
      <c r="C58" s="11"/>
      <c r="D58" s="11"/>
      <c r="E58" s="11"/>
    </row>
    <row r="59" customFormat="false" ht="15" hidden="false" customHeight="false" outlineLevel="0" collapsed="false">
      <c r="A59" s="10" t="n">
        <v>55</v>
      </c>
      <c r="B59" s="11"/>
      <c r="C59" s="11"/>
      <c r="D59" s="11"/>
      <c r="E59" s="11"/>
    </row>
    <row r="60" customFormat="false" ht="15" hidden="false" customHeight="false" outlineLevel="0" collapsed="false">
      <c r="A60" s="10" t="n">
        <v>56</v>
      </c>
      <c r="B60" s="11"/>
      <c r="C60" s="11"/>
      <c r="D60" s="11"/>
      <c r="E60" s="11"/>
    </row>
    <row r="61" customFormat="false" ht="15" hidden="false" customHeight="false" outlineLevel="0" collapsed="false">
      <c r="A61" s="10" t="n">
        <v>57</v>
      </c>
      <c r="B61" s="11"/>
      <c r="C61" s="11"/>
      <c r="D61" s="11"/>
      <c r="E61" s="11"/>
    </row>
    <row r="62" customFormat="false" ht="15" hidden="false" customHeight="false" outlineLevel="0" collapsed="false">
      <c r="A62" s="10" t="n">
        <v>58</v>
      </c>
      <c r="B62" s="11"/>
      <c r="C62" s="11"/>
      <c r="D62" s="11"/>
      <c r="E62" s="11"/>
    </row>
    <row r="63" customFormat="false" ht="15" hidden="false" customHeight="false" outlineLevel="0" collapsed="false">
      <c r="A63" s="10" t="n">
        <v>59</v>
      </c>
      <c r="B63" s="11"/>
      <c r="C63" s="11"/>
      <c r="D63" s="11"/>
      <c r="E63" s="11"/>
    </row>
    <row r="64" customFormat="false" ht="15" hidden="false" customHeight="false" outlineLevel="0" collapsed="false">
      <c r="A64" s="10" t="n">
        <v>60</v>
      </c>
      <c r="B64" s="11"/>
      <c r="C64" s="11"/>
      <c r="D64" s="11"/>
      <c r="E64" s="11"/>
    </row>
    <row r="65" customFormat="false" ht="15" hidden="false" customHeight="false" outlineLevel="0" collapsed="false">
      <c r="A65" s="10" t="n">
        <v>61</v>
      </c>
      <c r="B65" s="11"/>
      <c r="C65" s="11"/>
      <c r="D65" s="11"/>
      <c r="E65" s="11"/>
    </row>
    <row r="66" customFormat="false" ht="15" hidden="false" customHeight="false" outlineLevel="0" collapsed="false">
      <c r="A66" s="10" t="n">
        <v>62</v>
      </c>
      <c r="B66" s="11"/>
      <c r="C66" s="11"/>
      <c r="D66" s="11"/>
      <c r="E66" s="11"/>
    </row>
    <row r="67" customFormat="false" ht="15" hidden="false" customHeight="false" outlineLevel="0" collapsed="false">
      <c r="A67" s="10" t="n">
        <v>63</v>
      </c>
      <c r="B67" s="11"/>
      <c r="C67" s="11"/>
      <c r="D67" s="11"/>
      <c r="E67" s="11"/>
    </row>
    <row r="68" customFormat="false" ht="15" hidden="false" customHeight="false" outlineLevel="0" collapsed="false">
      <c r="A68" s="10" t="n">
        <v>64</v>
      </c>
      <c r="B68" s="11"/>
      <c r="C68" s="11"/>
      <c r="D68" s="11"/>
      <c r="E68" s="11"/>
    </row>
    <row r="69" customFormat="false" ht="15" hidden="false" customHeight="false" outlineLevel="0" collapsed="false">
      <c r="A69" s="10" t="n">
        <v>65</v>
      </c>
      <c r="B69" s="11"/>
      <c r="C69" s="11"/>
      <c r="D69" s="11"/>
      <c r="E69" s="11"/>
    </row>
    <row r="70" customFormat="false" ht="15" hidden="false" customHeight="false" outlineLevel="0" collapsed="false">
      <c r="A70" s="10" t="n">
        <v>66</v>
      </c>
      <c r="B70" s="11"/>
      <c r="C70" s="11"/>
      <c r="D70" s="11"/>
      <c r="E70" s="11"/>
    </row>
    <row r="71" customFormat="false" ht="15" hidden="false" customHeight="false" outlineLevel="0" collapsed="false">
      <c r="A71" s="10" t="n">
        <v>67</v>
      </c>
      <c r="B71" s="11"/>
      <c r="C71" s="11"/>
      <c r="D71" s="11"/>
      <c r="E71" s="11"/>
    </row>
    <row r="72" customFormat="false" ht="15" hidden="false" customHeight="false" outlineLevel="0" collapsed="false">
      <c r="A72" s="10" t="n">
        <v>68</v>
      </c>
      <c r="B72" s="11"/>
      <c r="C72" s="11"/>
      <c r="D72" s="11"/>
      <c r="E72" s="11"/>
    </row>
    <row r="73" customFormat="false" ht="15" hidden="false" customHeight="false" outlineLevel="0" collapsed="false">
      <c r="A73" s="10" t="n">
        <v>69</v>
      </c>
      <c r="B73" s="11"/>
      <c r="C73" s="11"/>
      <c r="D73" s="11"/>
      <c r="E73" s="11"/>
    </row>
    <row r="74" customFormat="false" ht="15" hidden="false" customHeight="false" outlineLevel="0" collapsed="false">
      <c r="A74" s="10" t="n">
        <v>70</v>
      </c>
      <c r="B74" s="11"/>
      <c r="C74" s="11"/>
      <c r="D74" s="11"/>
      <c r="E74" s="11"/>
    </row>
    <row r="75" customFormat="false" ht="15" hidden="false" customHeight="false" outlineLevel="0" collapsed="false">
      <c r="A75" s="10" t="n">
        <v>71</v>
      </c>
      <c r="B75" s="11"/>
      <c r="C75" s="11"/>
      <c r="D75" s="11"/>
      <c r="E75" s="11"/>
    </row>
    <row r="76" customFormat="false" ht="15" hidden="false" customHeight="false" outlineLevel="0" collapsed="false">
      <c r="A76" s="10" t="n">
        <v>72</v>
      </c>
      <c r="B76" s="11"/>
      <c r="C76" s="11"/>
      <c r="D76" s="11"/>
      <c r="E76" s="11"/>
    </row>
    <row r="77" customFormat="false" ht="15" hidden="false" customHeight="false" outlineLevel="0" collapsed="false">
      <c r="A77" s="10" t="n">
        <v>73</v>
      </c>
      <c r="B77" s="11"/>
      <c r="C77" s="11"/>
      <c r="D77" s="11"/>
      <c r="E77" s="11"/>
    </row>
    <row r="78" customFormat="false" ht="15" hidden="false" customHeight="false" outlineLevel="0" collapsed="false">
      <c r="A78" s="10" t="n">
        <v>74</v>
      </c>
      <c r="B78" s="11"/>
      <c r="C78" s="11"/>
      <c r="D78" s="11"/>
      <c r="E78" s="11"/>
    </row>
    <row r="79" customFormat="false" ht="15" hidden="false" customHeight="false" outlineLevel="0" collapsed="false">
      <c r="A79" s="10" t="n">
        <v>75</v>
      </c>
      <c r="B79" s="11"/>
      <c r="C79" s="11"/>
      <c r="D79" s="11"/>
      <c r="E79" s="11"/>
    </row>
    <row r="80" customFormat="false" ht="15" hidden="false" customHeight="false" outlineLevel="0" collapsed="false">
      <c r="A80" s="10" t="n">
        <v>76</v>
      </c>
      <c r="B80" s="11"/>
      <c r="C80" s="11"/>
      <c r="D80" s="11"/>
      <c r="E80" s="11"/>
    </row>
    <row r="81" customFormat="false" ht="15" hidden="false" customHeight="false" outlineLevel="0" collapsed="false">
      <c r="A81" s="10" t="n">
        <v>77</v>
      </c>
      <c r="B81" s="11"/>
      <c r="C81" s="11"/>
      <c r="D81" s="11"/>
      <c r="E81" s="11"/>
    </row>
    <row r="82" customFormat="false" ht="15" hidden="false" customHeight="false" outlineLevel="0" collapsed="false">
      <c r="A82" s="10" t="n">
        <v>78</v>
      </c>
      <c r="B82" s="11"/>
      <c r="C82" s="11"/>
      <c r="D82" s="11"/>
      <c r="E82" s="11"/>
    </row>
    <row r="83" customFormat="false" ht="15" hidden="false" customHeight="false" outlineLevel="0" collapsed="false">
      <c r="A83" s="10" t="n">
        <v>79</v>
      </c>
      <c r="B83" s="11"/>
      <c r="C83" s="11"/>
      <c r="D83" s="11"/>
      <c r="E83" s="11"/>
    </row>
    <row r="84" customFormat="false" ht="15" hidden="false" customHeight="false" outlineLevel="0" collapsed="false">
      <c r="A84" s="10" t="n">
        <v>80</v>
      </c>
      <c r="B84" s="11"/>
      <c r="C84" s="11"/>
      <c r="D84" s="11"/>
      <c r="E84" s="11"/>
    </row>
    <row r="85" customFormat="false" ht="15" hidden="false" customHeight="false" outlineLevel="0" collapsed="false">
      <c r="A85" s="10" t="n">
        <v>81</v>
      </c>
      <c r="B85" s="11"/>
      <c r="C85" s="11"/>
      <c r="D85" s="11"/>
      <c r="E85" s="11"/>
    </row>
    <row r="86" customFormat="false" ht="15" hidden="false" customHeight="false" outlineLevel="0" collapsed="false">
      <c r="A86" s="10" t="n">
        <v>82</v>
      </c>
      <c r="B86" s="11"/>
      <c r="C86" s="11"/>
      <c r="D86" s="11"/>
      <c r="E86" s="11"/>
    </row>
    <row r="87" customFormat="false" ht="15" hidden="false" customHeight="false" outlineLevel="0" collapsed="false">
      <c r="A87" s="10" t="n">
        <v>83</v>
      </c>
      <c r="B87" s="11"/>
      <c r="C87" s="11"/>
      <c r="D87" s="11"/>
      <c r="E87" s="11"/>
    </row>
    <row r="88" customFormat="false" ht="15" hidden="false" customHeight="false" outlineLevel="0" collapsed="false">
      <c r="A88" s="10" t="n">
        <v>84</v>
      </c>
      <c r="B88" s="11"/>
      <c r="C88" s="11"/>
      <c r="D88" s="11"/>
      <c r="E88" s="11"/>
    </row>
    <row r="89" customFormat="false" ht="15" hidden="false" customHeight="false" outlineLevel="0" collapsed="false">
      <c r="A89" s="10" t="n">
        <v>85</v>
      </c>
      <c r="B89" s="11"/>
      <c r="C89" s="11"/>
      <c r="D89" s="11"/>
      <c r="E89" s="11"/>
    </row>
    <row r="90" customFormat="false" ht="15" hidden="false" customHeight="false" outlineLevel="0" collapsed="false">
      <c r="A90" s="10" t="n">
        <v>86</v>
      </c>
      <c r="B90" s="11"/>
      <c r="C90" s="11"/>
      <c r="D90" s="11"/>
      <c r="E90" s="11"/>
    </row>
    <row r="91" customFormat="false" ht="15" hidden="false" customHeight="false" outlineLevel="0" collapsed="false">
      <c r="A91" s="10" t="n">
        <v>87</v>
      </c>
      <c r="B91" s="11"/>
      <c r="C91" s="11"/>
      <c r="D91" s="11"/>
      <c r="E91" s="11"/>
    </row>
    <row r="92" customFormat="false" ht="15" hidden="false" customHeight="false" outlineLevel="0" collapsed="false">
      <c r="A92" s="10" t="n">
        <v>88</v>
      </c>
      <c r="B92" s="11"/>
      <c r="C92" s="11"/>
      <c r="D92" s="11"/>
      <c r="E92" s="11"/>
    </row>
    <row r="93" customFormat="false" ht="15" hidden="false" customHeight="false" outlineLevel="0" collapsed="false">
      <c r="A93" s="10" t="n">
        <v>89</v>
      </c>
      <c r="B93" s="11"/>
      <c r="C93" s="11"/>
      <c r="D93" s="11"/>
      <c r="E93" s="11"/>
    </row>
    <row r="94" customFormat="false" ht="15" hidden="false" customHeight="false" outlineLevel="0" collapsed="false">
      <c r="A94" s="10" t="n">
        <v>90</v>
      </c>
      <c r="B94" s="11"/>
      <c r="C94" s="11"/>
      <c r="D94" s="11"/>
      <c r="E94" s="11"/>
    </row>
    <row r="95" customFormat="false" ht="15" hidden="false" customHeight="false" outlineLevel="0" collapsed="false">
      <c r="A95" s="10" t="n">
        <v>91</v>
      </c>
      <c r="B95" s="11"/>
      <c r="C95" s="11"/>
      <c r="D95" s="11"/>
      <c r="E95" s="11"/>
    </row>
    <row r="96" customFormat="false" ht="15" hidden="false" customHeight="false" outlineLevel="0" collapsed="false">
      <c r="A96" s="10" t="n">
        <v>92</v>
      </c>
      <c r="B96" s="11"/>
      <c r="C96" s="11"/>
      <c r="D96" s="11"/>
      <c r="E96" s="11"/>
    </row>
    <row r="97" customFormat="false" ht="15" hidden="false" customHeight="false" outlineLevel="0" collapsed="false">
      <c r="A97" s="10" t="n">
        <v>93</v>
      </c>
      <c r="B97" s="11"/>
      <c r="C97" s="11"/>
      <c r="D97" s="11"/>
      <c r="E97" s="11"/>
    </row>
    <row r="98" customFormat="false" ht="15" hidden="false" customHeight="false" outlineLevel="0" collapsed="false">
      <c r="A98" s="10" t="n">
        <v>94</v>
      </c>
      <c r="B98" s="11"/>
      <c r="C98" s="11"/>
      <c r="D98" s="11"/>
      <c r="E98" s="11"/>
    </row>
    <row r="99" customFormat="false" ht="15" hidden="false" customHeight="false" outlineLevel="0" collapsed="false">
      <c r="A99" s="10" t="n">
        <v>95</v>
      </c>
      <c r="B99" s="11"/>
      <c r="C99" s="11"/>
      <c r="D99" s="11"/>
      <c r="E99" s="11"/>
    </row>
    <row r="100" customFormat="false" ht="15" hidden="false" customHeight="false" outlineLevel="0" collapsed="false">
      <c r="A100" s="10" t="n">
        <v>96</v>
      </c>
      <c r="B100" s="11"/>
      <c r="C100" s="11"/>
      <c r="D100" s="11"/>
      <c r="E100" s="11"/>
    </row>
    <row r="101" customFormat="false" ht="15" hidden="false" customHeight="false" outlineLevel="0" collapsed="false">
      <c r="A101" s="10" t="n">
        <v>97</v>
      </c>
      <c r="B101" s="11"/>
      <c r="C101" s="11"/>
      <c r="D101" s="11"/>
      <c r="E101" s="11"/>
    </row>
    <row r="102" customFormat="false" ht="15" hidden="false" customHeight="false" outlineLevel="0" collapsed="false">
      <c r="A102" s="10" t="n">
        <v>98</v>
      </c>
      <c r="B102" s="11"/>
      <c r="C102" s="11"/>
      <c r="D102" s="11"/>
      <c r="E102" s="11"/>
    </row>
    <row r="103" customFormat="false" ht="15" hidden="false" customHeight="false" outlineLevel="0" collapsed="false">
      <c r="A103" s="10" t="n">
        <v>99</v>
      </c>
      <c r="B103" s="11"/>
      <c r="C103" s="11"/>
      <c r="D103" s="11"/>
      <c r="E103" s="11"/>
    </row>
    <row r="104" customFormat="false" ht="15" hidden="false" customHeight="false" outlineLevel="0" collapsed="false">
      <c r="A104" s="10" t="n">
        <v>100</v>
      </c>
      <c r="B104" s="11"/>
      <c r="C104" s="11"/>
      <c r="D104" s="11"/>
      <c r="E104" s="11"/>
    </row>
  </sheetData>
  <conditionalFormatting sqref="B17:E104 B5:B16 B17:D104 D16">
    <cfRule type="expression" priority="2" aboveAverage="0" equalAverage="0" bottom="0" percent="0" rank="0" text="" dxfId="0">
      <formula>AND(B5&lt;&gt;"",ISERROR(MATCH(B5,$H$10:$H$29,0)))</formula>
    </cfRule>
    <cfRule type="expression" priority="3" aboveAverage="0" equalAverage="0" bottom="0" percent="0" rank="0" text="" dxfId="1">
      <formula>COLUMN()-1&gt;$H$4</formula>
    </cfRule>
  </conditionalFormatting>
  <conditionalFormatting sqref="B3:E3">
    <cfRule type="expression" priority="4" aboveAverage="0" equalAverage="0" bottom="0" percent="0" rank="0" text="" dxfId="1">
      <formula>COLUMN()-1&gt;$H$4</formula>
    </cfRule>
  </conditionalFormatting>
  <conditionalFormatting sqref="D5:D15">
    <cfRule type="expression" priority="5" aboveAverage="0" equalAverage="0" bottom="0" percent="0" rank="0" text="" dxfId="0">
      <formula>AND(D5&lt;&gt;"",ISERROR(MATCH(D5,$H$10:$H$29,0)))</formula>
    </cfRule>
    <cfRule type="expression" priority="6" aboveAverage="0" equalAverage="0" bottom="0" percent="0" rank="0" text="" dxfId="1">
      <formula>COLUMN()-1&gt;$H$4</formula>
    </cfRule>
  </conditionalFormatting>
  <conditionalFormatting sqref="E5:E16">
    <cfRule type="expression" priority="7" aboveAverage="0" equalAverage="0" bottom="0" percent="0" rank="0" text="" dxfId="0">
      <formula>AND(E5&lt;&gt;"",ISERROR(MATCH(E5,$H$10:$H$29,0)))</formula>
    </cfRule>
    <cfRule type="expression" priority="8" aboveAverage="0" equalAverage="0" bottom="0" percent="0" rank="0" text="" dxfId="1">
      <formula>COLUMN()-1&gt;$H$4</formula>
    </cfRule>
  </conditionalFormatting>
  <conditionalFormatting sqref="C5:C16">
    <cfRule type="expression" priority="9" aboveAverage="0" equalAverage="0" bottom="0" percent="0" rank="0" text="" dxfId="0">
      <formula>AND(C5&lt;&gt;"",ISERROR(MATCH(C5,$H$10:$H$29,0)))</formula>
    </cfRule>
    <cfRule type="expression" priority="10" aboveAverage="0" equalAverage="0" bottom="0" percent="0" rank="0" text="" dxfId="1">
      <formula>COLUMN()-1&gt;$H$4</formula>
    </cfRule>
  </conditionalFormatting>
  <dataValidations count="3">
    <dataValidation allowBlank="false" error="Pilih Nominal atau Ordinal." errorStyle="stop" errorTitle="Jenis data" operator="between" showDropDown="false" showErrorMessage="true" showInputMessage="false" sqref="H5" type="list">
      <formula1>"Nominal,Ordinal"</formula1>
      <formula2>0</formula2>
    </dataValidation>
    <dataValidation allowBlank="true" error="Nilai harus ada di Daftar Kategori (H10:H29). Kosongkan sel jika tidak ada data." errorStyle="stop" errorTitle="Kategori tidak dikenal" operator="between" showDropDown="false" showErrorMessage="true" showInputMessage="false" sqref="B5:E104" type="list">
      <formula1>$H$10:$H$29</formula1>
      <formula2>0</formula2>
    </dataValidation>
    <dataValidation allowBlank="false" error="Pilih 2, 3, atau 4." errorStyle="stop" errorTitle="Jumlah coder" operator="between" showDropDown="false" showErrorMessage="true" showInputMessage="false" sqref="H4" type="list">
      <formula1>"2,3,4"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E5" activeCellId="0" sqref="E5"/>
    </sheetView>
  </sheetViews>
  <sheetFormatPr defaultColWidth="8.6796875" defaultRowHeight="15" customHeight="false" zeroHeight="false" outlineLevelRow="0" outlineLevelCol="0"/>
  <cols>
    <col collapsed="false" customWidth="true" hidden="false" outlineLevel="0" max="28" min="1" style="1" width="10"/>
  </cols>
  <sheetData>
    <row r="1" customFormat="false" ht="17.35" hidden="false" customHeight="false" outlineLevel="0" collapsed="false">
      <c r="A1" s="2" t="s">
        <v>123</v>
      </c>
    </row>
    <row r="2" customFormat="false" ht="15" hidden="false" customHeight="false" outlineLevel="0" collapsed="false">
      <c r="A2" s="7" t="s">
        <v>124</v>
      </c>
    </row>
    <row r="3" customFormat="false" ht="15" hidden="false" customHeight="false" outlineLevel="0" collapsed="false">
      <c r="A3" s="15" t="s">
        <v>125</v>
      </c>
      <c r="B3" s="15" t="n">
        <v>1</v>
      </c>
      <c r="C3" s="15" t="n">
        <v>2</v>
      </c>
      <c r="D3" s="15" t="n">
        <v>3</v>
      </c>
      <c r="E3" s="15" t="n">
        <v>4</v>
      </c>
      <c r="F3" s="15"/>
      <c r="G3" s="15"/>
      <c r="H3" s="15"/>
      <c r="I3" s="15" t="n">
        <v>1</v>
      </c>
      <c r="J3" s="15" t="n">
        <v>2</v>
      </c>
      <c r="K3" s="15" t="n">
        <v>3</v>
      </c>
      <c r="L3" s="15" t="n">
        <v>4</v>
      </c>
      <c r="M3" s="15" t="n">
        <v>5</v>
      </c>
      <c r="N3" s="15" t="n">
        <v>6</v>
      </c>
      <c r="O3" s="15" t="n">
        <v>7</v>
      </c>
      <c r="P3" s="15" t="n">
        <v>8</v>
      </c>
      <c r="Q3" s="15" t="n">
        <v>9</v>
      </c>
      <c r="R3" s="15" t="n">
        <v>10</v>
      </c>
      <c r="S3" s="15" t="n">
        <v>11</v>
      </c>
      <c r="T3" s="15" t="n">
        <v>12</v>
      </c>
      <c r="U3" s="15" t="n">
        <v>13</v>
      </c>
      <c r="V3" s="15" t="n">
        <v>14</v>
      </c>
      <c r="W3" s="15" t="n">
        <v>15</v>
      </c>
      <c r="X3" s="15" t="n">
        <v>16</v>
      </c>
      <c r="Y3" s="15" t="n">
        <v>17</v>
      </c>
      <c r="Z3" s="15" t="n">
        <v>18</v>
      </c>
      <c r="AA3" s="15" t="n">
        <v>19</v>
      </c>
      <c r="AB3" s="15" t="n">
        <v>20</v>
      </c>
    </row>
    <row r="4" customFormat="false" ht="15" hidden="false" customHeight="false" outlineLevel="0" collapsed="false">
      <c r="A4" s="9" t="s">
        <v>126</v>
      </c>
      <c r="B4" s="9" t="str">
        <f aca="false">Input!B4</f>
        <v>Claude</v>
      </c>
      <c r="C4" s="9" t="str">
        <f aca="false">Input!C4</f>
        <v>Gemini</v>
      </c>
      <c r="D4" s="9" t="n">
        <f aca="false">Input!D4</f>
        <v>0</v>
      </c>
      <c r="E4" s="9" t="n">
        <f aca="false">Input!E4</f>
        <v>0</v>
      </c>
      <c r="F4" s="9" t="s">
        <v>127</v>
      </c>
      <c r="G4" s="9" t="s">
        <v>128</v>
      </c>
      <c r="H4" s="9" t="s">
        <v>129</v>
      </c>
      <c r="I4" s="9" t="str">
        <f aca="false">IF(Input!$H$10="","",Input!$H$10)</f>
        <v>K1</v>
      </c>
      <c r="J4" s="9" t="str">
        <f aca="false">IF(Input!$H$11="","",Input!$H$11)</f>
        <v>K2</v>
      </c>
      <c r="K4" s="9" t="str">
        <f aca="false">IF(Input!$H$12="","",Input!$H$12)</f>
        <v>K3</v>
      </c>
      <c r="L4" s="9" t="str">
        <f aca="false">IF(Input!$H$13="","",Input!$H$13)</f>
        <v>K4</v>
      </c>
      <c r="M4" s="9" t="str">
        <f aca="false">IF(Input!$H$14="","",Input!$H$14)</f>
        <v>K5</v>
      </c>
      <c r="N4" s="9" t="str">
        <f aca="false">IF(Input!$H$15="","",Input!$H$15)</f>
        <v/>
      </c>
      <c r="O4" s="9" t="str">
        <f aca="false">IF(Input!$H$16="","",Input!$H$16)</f>
        <v/>
      </c>
      <c r="P4" s="9" t="str">
        <f aca="false">IF(Input!$H$17="","",Input!$H$17)</f>
        <v/>
      </c>
      <c r="Q4" s="9" t="str">
        <f aca="false">IF(Input!$H$18="","",Input!$H$18)</f>
        <v/>
      </c>
      <c r="R4" s="9" t="str">
        <f aca="false">IF(Input!$H$19="","",Input!$H$19)</f>
        <v/>
      </c>
      <c r="S4" s="9" t="str">
        <f aca="false">IF(Input!$H$20="","",Input!$H$20)</f>
        <v/>
      </c>
      <c r="T4" s="9" t="str">
        <f aca="false">IF(Input!$H$21="","",Input!$H$21)</f>
        <v/>
      </c>
      <c r="U4" s="9" t="str">
        <f aca="false">IF(Input!$H$22="","",Input!$H$22)</f>
        <v/>
      </c>
      <c r="V4" s="9" t="str">
        <f aca="false">IF(Input!$H$23="","",Input!$H$23)</f>
        <v/>
      </c>
      <c r="W4" s="9" t="str">
        <f aca="false">IF(Input!$H$24="","",Input!$H$24)</f>
        <v/>
      </c>
      <c r="X4" s="9" t="str">
        <f aca="false">IF(Input!$H$25="","",Input!$H$25)</f>
        <v/>
      </c>
      <c r="Y4" s="9" t="str">
        <f aca="false">IF(Input!$H$26="","",Input!$H$26)</f>
        <v/>
      </c>
      <c r="Z4" s="9" t="str">
        <f aca="false">IF(Input!$H$27="","",Input!$H$27)</f>
        <v/>
      </c>
      <c r="AA4" s="9" t="str">
        <f aca="false">IF(Input!$H$28="","",Input!$H$28)</f>
        <v/>
      </c>
      <c r="AB4" s="9" t="str">
        <f aca="false">IF(Input!$H$29="","",Input!$H$29)</f>
        <v/>
      </c>
    </row>
    <row r="5" customFormat="false" ht="15" hidden="false" customHeight="false" outlineLevel="0" collapsed="false">
      <c r="A5" s="24" t="n">
        <f aca="false">Input!A5</f>
        <v>1</v>
      </c>
      <c r="B5" s="24" t="n">
        <f aca="false">IF(Input!B5="","",IF(B$3&gt;Input!$H$4,"",IFERROR(MATCH(Input!B5,Input!$H$10:$H$29,0),"ERR")))</f>
        <v>5</v>
      </c>
      <c r="C5" s="24" t="n">
        <f aca="false">IF(Input!C5="","",IF(C$3&gt;Input!$H$4,"",IFERROR(MATCH(Input!C5,Input!$H$10:$H$29,0),"ERR")))</f>
        <v>5</v>
      </c>
      <c r="D5" s="24" t="str">
        <f aca="false">IF(Input!D5="","",IF(D$3&gt;Input!$H$4,"",IFERROR(MATCH(Input!D5,Input!$H$10:$H$29,0),"ERR")))</f>
        <v/>
      </c>
      <c r="E5" s="24" t="str">
        <f aca="false">IF(Input!E5="","",IF(E$3&gt;Input!$H$4,"",IFERROR(MATCH(Input!E5,Input!$H$10:$H$29,0),"ERR")))</f>
        <v/>
      </c>
      <c r="F5" s="24" t="n">
        <f aca="false">COUNT(B5:E5)</f>
        <v>2</v>
      </c>
      <c r="G5" s="24" t="n">
        <f aca="false">COUNTIF(B5:E5,"ERR")</f>
        <v>0</v>
      </c>
      <c r="H5" s="25" t="n">
        <f aca="false">IF(F5&gt;=2,1/(F5-1),0)</f>
        <v>1</v>
      </c>
      <c r="I5" s="24" t="n">
        <f aca="false">COUNTIF($B5:$E5,I$3)</f>
        <v>0</v>
      </c>
      <c r="J5" s="24" t="n">
        <f aca="false">COUNTIF($B5:$E5,J$3)</f>
        <v>0</v>
      </c>
      <c r="K5" s="24" t="n">
        <f aca="false">COUNTIF($B5:$E5,K$3)</f>
        <v>0</v>
      </c>
      <c r="L5" s="24" t="n">
        <f aca="false">COUNTIF($B5:$E5,L$3)</f>
        <v>0</v>
      </c>
      <c r="M5" s="24" t="n">
        <f aca="false">COUNTIF($B5:$E5,M$3)</f>
        <v>2</v>
      </c>
      <c r="N5" s="24" t="n">
        <f aca="false">COUNTIF($B5:$E5,N$3)</f>
        <v>0</v>
      </c>
      <c r="O5" s="24" t="n">
        <f aca="false">COUNTIF($B5:$E5,O$3)</f>
        <v>0</v>
      </c>
      <c r="P5" s="24" t="n">
        <f aca="false">COUNTIF($B5:$E5,P$3)</f>
        <v>0</v>
      </c>
      <c r="Q5" s="24" t="n">
        <f aca="false">COUNTIF($B5:$E5,Q$3)</f>
        <v>0</v>
      </c>
      <c r="R5" s="24" t="n">
        <f aca="false">COUNTIF($B5:$E5,R$3)</f>
        <v>0</v>
      </c>
      <c r="S5" s="24" t="n">
        <f aca="false">COUNTIF($B5:$E5,S$3)</f>
        <v>0</v>
      </c>
      <c r="T5" s="24" t="n">
        <f aca="false">COUNTIF($B5:$E5,T$3)</f>
        <v>0</v>
      </c>
      <c r="U5" s="24" t="n">
        <f aca="false">COUNTIF($B5:$E5,U$3)</f>
        <v>0</v>
      </c>
      <c r="V5" s="24" t="n">
        <f aca="false">COUNTIF($B5:$E5,V$3)</f>
        <v>0</v>
      </c>
      <c r="W5" s="24" t="n">
        <f aca="false">COUNTIF($B5:$E5,W$3)</f>
        <v>0</v>
      </c>
      <c r="X5" s="24" t="n">
        <f aca="false">COUNTIF($B5:$E5,X$3)</f>
        <v>0</v>
      </c>
      <c r="Y5" s="24" t="n">
        <f aca="false">COUNTIF($B5:$E5,Y$3)</f>
        <v>0</v>
      </c>
      <c r="Z5" s="24" t="n">
        <f aca="false">COUNTIF($B5:$E5,Z$3)</f>
        <v>0</v>
      </c>
      <c r="AA5" s="24" t="n">
        <f aca="false">COUNTIF($B5:$E5,AA$3)</f>
        <v>0</v>
      </c>
      <c r="AB5" s="24" t="n">
        <f aca="false">COUNTIF($B5:$E5,AB$3)</f>
        <v>0</v>
      </c>
    </row>
    <row r="6" customFormat="false" ht="15" hidden="false" customHeight="false" outlineLevel="0" collapsed="false">
      <c r="A6" s="24" t="n">
        <f aca="false">Input!A6</f>
        <v>2</v>
      </c>
      <c r="B6" s="24" t="n">
        <f aca="false">IF(Input!B6="","",IF(B$3&gt;Input!$H$4,"",IFERROR(MATCH(Input!B6,Input!$H$10:$H$29,0),"ERR")))</f>
        <v>5</v>
      </c>
      <c r="C6" s="24" t="n">
        <f aca="false">IF(Input!C6="","",IF(C$3&gt;Input!$H$4,"",IFERROR(MATCH(Input!C6,Input!$H$10:$H$29,0),"ERR")))</f>
        <v>5</v>
      </c>
      <c r="D6" s="24" t="str">
        <f aca="false">IF(Input!D6="","",IF(D$3&gt;Input!$H$4,"",IFERROR(MATCH(Input!D6,Input!$H$10:$H$29,0),"ERR")))</f>
        <v/>
      </c>
      <c r="E6" s="24" t="str">
        <f aca="false">IF(Input!E6="","",IF(E$3&gt;Input!$H$4,"",IFERROR(MATCH(Input!E6,Input!$H$10:$H$29,0),"ERR")))</f>
        <v/>
      </c>
      <c r="F6" s="24" t="n">
        <f aca="false">COUNT(B6:E6)</f>
        <v>2</v>
      </c>
      <c r="G6" s="24" t="n">
        <f aca="false">COUNTIF(B6:E6,"ERR")</f>
        <v>0</v>
      </c>
      <c r="H6" s="25" t="n">
        <f aca="false">IF(F6&gt;=2,1/(F6-1),0)</f>
        <v>1</v>
      </c>
      <c r="I6" s="24" t="n">
        <f aca="false">COUNTIF($B6:$E6,I$3)</f>
        <v>0</v>
      </c>
      <c r="J6" s="24" t="n">
        <f aca="false">COUNTIF($B6:$E6,J$3)</f>
        <v>0</v>
      </c>
      <c r="K6" s="24" t="n">
        <f aca="false">COUNTIF($B6:$E6,K$3)</f>
        <v>0</v>
      </c>
      <c r="L6" s="24" t="n">
        <f aca="false">COUNTIF($B6:$E6,L$3)</f>
        <v>0</v>
      </c>
      <c r="M6" s="24" t="n">
        <f aca="false">COUNTIF($B6:$E6,M$3)</f>
        <v>2</v>
      </c>
      <c r="N6" s="24" t="n">
        <f aca="false">COUNTIF($B6:$E6,N$3)</f>
        <v>0</v>
      </c>
      <c r="O6" s="24" t="n">
        <f aca="false">COUNTIF($B6:$E6,O$3)</f>
        <v>0</v>
      </c>
      <c r="P6" s="24" t="n">
        <f aca="false">COUNTIF($B6:$E6,P$3)</f>
        <v>0</v>
      </c>
      <c r="Q6" s="24" t="n">
        <f aca="false">COUNTIF($B6:$E6,Q$3)</f>
        <v>0</v>
      </c>
      <c r="R6" s="24" t="n">
        <f aca="false">COUNTIF($B6:$E6,R$3)</f>
        <v>0</v>
      </c>
      <c r="S6" s="24" t="n">
        <f aca="false">COUNTIF($B6:$E6,S$3)</f>
        <v>0</v>
      </c>
      <c r="T6" s="24" t="n">
        <f aca="false">COUNTIF($B6:$E6,T$3)</f>
        <v>0</v>
      </c>
      <c r="U6" s="24" t="n">
        <f aca="false">COUNTIF($B6:$E6,U$3)</f>
        <v>0</v>
      </c>
      <c r="V6" s="24" t="n">
        <f aca="false">COUNTIF($B6:$E6,V$3)</f>
        <v>0</v>
      </c>
      <c r="W6" s="24" t="n">
        <f aca="false">COUNTIF($B6:$E6,W$3)</f>
        <v>0</v>
      </c>
      <c r="X6" s="24" t="n">
        <f aca="false">COUNTIF($B6:$E6,X$3)</f>
        <v>0</v>
      </c>
      <c r="Y6" s="24" t="n">
        <f aca="false">COUNTIF($B6:$E6,Y$3)</f>
        <v>0</v>
      </c>
      <c r="Z6" s="24" t="n">
        <f aca="false">COUNTIF($B6:$E6,Z$3)</f>
        <v>0</v>
      </c>
      <c r="AA6" s="24" t="n">
        <f aca="false">COUNTIF($B6:$E6,AA$3)</f>
        <v>0</v>
      </c>
      <c r="AB6" s="24" t="n">
        <f aca="false">COUNTIF($B6:$E6,AB$3)</f>
        <v>0</v>
      </c>
    </row>
    <row r="7" customFormat="false" ht="15" hidden="false" customHeight="false" outlineLevel="0" collapsed="false">
      <c r="A7" s="24" t="n">
        <f aca="false">Input!A7</f>
        <v>3</v>
      </c>
      <c r="B7" s="24" t="n">
        <f aca="false">IF(Input!B7="","",IF(B$3&gt;Input!$H$4,"",IFERROR(MATCH(Input!B7,Input!$H$10:$H$29,0),"ERR")))</f>
        <v>5</v>
      </c>
      <c r="C7" s="24" t="n">
        <f aca="false">IF(Input!C7="","",IF(C$3&gt;Input!$H$4,"",IFERROR(MATCH(Input!C7,Input!$H$10:$H$29,0),"ERR")))</f>
        <v>5</v>
      </c>
      <c r="D7" s="24" t="str">
        <f aca="false">IF(Input!D7="","",IF(D$3&gt;Input!$H$4,"",IFERROR(MATCH(Input!D7,Input!$H$10:$H$29,0),"ERR")))</f>
        <v/>
      </c>
      <c r="E7" s="24" t="str">
        <f aca="false">IF(Input!E7="","",IF(E$3&gt;Input!$H$4,"",IFERROR(MATCH(Input!E7,Input!$H$10:$H$29,0),"ERR")))</f>
        <v/>
      </c>
      <c r="F7" s="24" t="n">
        <f aca="false">COUNT(B7:E7)</f>
        <v>2</v>
      </c>
      <c r="G7" s="24" t="n">
        <f aca="false">COUNTIF(B7:E7,"ERR")</f>
        <v>0</v>
      </c>
      <c r="H7" s="25" t="n">
        <f aca="false">IF(F7&gt;=2,1/(F7-1),0)</f>
        <v>1</v>
      </c>
      <c r="I7" s="24" t="n">
        <f aca="false">COUNTIF($B7:$E7,I$3)</f>
        <v>0</v>
      </c>
      <c r="J7" s="24" t="n">
        <f aca="false">COUNTIF($B7:$E7,J$3)</f>
        <v>0</v>
      </c>
      <c r="K7" s="24" t="n">
        <f aca="false">COUNTIF($B7:$E7,K$3)</f>
        <v>0</v>
      </c>
      <c r="L7" s="24" t="n">
        <f aca="false">COUNTIF($B7:$E7,L$3)</f>
        <v>0</v>
      </c>
      <c r="M7" s="24" t="n">
        <f aca="false">COUNTIF($B7:$E7,M$3)</f>
        <v>2</v>
      </c>
      <c r="N7" s="24" t="n">
        <f aca="false">COUNTIF($B7:$E7,N$3)</f>
        <v>0</v>
      </c>
      <c r="O7" s="24" t="n">
        <f aca="false">COUNTIF($B7:$E7,O$3)</f>
        <v>0</v>
      </c>
      <c r="P7" s="24" t="n">
        <f aca="false">COUNTIF($B7:$E7,P$3)</f>
        <v>0</v>
      </c>
      <c r="Q7" s="24" t="n">
        <f aca="false">COUNTIF($B7:$E7,Q$3)</f>
        <v>0</v>
      </c>
      <c r="R7" s="24" t="n">
        <f aca="false">COUNTIF($B7:$E7,R$3)</f>
        <v>0</v>
      </c>
      <c r="S7" s="24" t="n">
        <f aca="false">COUNTIF($B7:$E7,S$3)</f>
        <v>0</v>
      </c>
      <c r="T7" s="24" t="n">
        <f aca="false">COUNTIF($B7:$E7,T$3)</f>
        <v>0</v>
      </c>
      <c r="U7" s="24" t="n">
        <f aca="false">COUNTIF($B7:$E7,U$3)</f>
        <v>0</v>
      </c>
      <c r="V7" s="24" t="n">
        <f aca="false">COUNTIF($B7:$E7,V$3)</f>
        <v>0</v>
      </c>
      <c r="W7" s="24" t="n">
        <f aca="false">COUNTIF($B7:$E7,W$3)</f>
        <v>0</v>
      </c>
      <c r="X7" s="24" t="n">
        <f aca="false">COUNTIF($B7:$E7,X$3)</f>
        <v>0</v>
      </c>
      <c r="Y7" s="24" t="n">
        <f aca="false">COUNTIF($B7:$E7,Y$3)</f>
        <v>0</v>
      </c>
      <c r="Z7" s="24" t="n">
        <f aca="false">COUNTIF($B7:$E7,Z$3)</f>
        <v>0</v>
      </c>
      <c r="AA7" s="24" t="n">
        <f aca="false">COUNTIF($B7:$E7,AA$3)</f>
        <v>0</v>
      </c>
      <c r="AB7" s="24" t="n">
        <f aca="false">COUNTIF($B7:$E7,AB$3)</f>
        <v>0</v>
      </c>
    </row>
    <row r="8" customFormat="false" ht="15" hidden="false" customHeight="false" outlineLevel="0" collapsed="false">
      <c r="A8" s="24" t="n">
        <f aca="false">Input!A8</f>
        <v>4</v>
      </c>
      <c r="B8" s="24" t="n">
        <f aca="false">IF(Input!B8="","",IF(B$3&gt;Input!$H$4,"",IFERROR(MATCH(Input!B8,Input!$H$10:$H$29,0),"ERR")))</f>
        <v>3</v>
      </c>
      <c r="C8" s="24" t="n">
        <f aca="false">IF(Input!C8="","",IF(C$3&gt;Input!$H$4,"",IFERROR(MATCH(Input!C8,Input!$H$10:$H$29,0),"ERR")))</f>
        <v>3</v>
      </c>
      <c r="D8" s="24" t="str">
        <f aca="false">IF(Input!D8="","",IF(D$3&gt;Input!$H$4,"",IFERROR(MATCH(Input!D8,Input!$H$10:$H$29,0),"ERR")))</f>
        <v/>
      </c>
      <c r="E8" s="24" t="str">
        <f aca="false">IF(Input!E8="","",IF(E$3&gt;Input!$H$4,"",IFERROR(MATCH(Input!E8,Input!$H$10:$H$29,0),"ERR")))</f>
        <v/>
      </c>
      <c r="F8" s="24" t="n">
        <f aca="false">COUNT(B8:E8)</f>
        <v>2</v>
      </c>
      <c r="G8" s="24" t="n">
        <f aca="false">COUNTIF(B8:E8,"ERR")</f>
        <v>0</v>
      </c>
      <c r="H8" s="25" t="n">
        <f aca="false">IF(F8&gt;=2,1/(F8-1),0)</f>
        <v>1</v>
      </c>
      <c r="I8" s="24" t="n">
        <f aca="false">COUNTIF($B8:$E8,I$3)</f>
        <v>0</v>
      </c>
      <c r="J8" s="24" t="n">
        <f aca="false">COUNTIF($B8:$E8,J$3)</f>
        <v>0</v>
      </c>
      <c r="K8" s="24" t="n">
        <f aca="false">COUNTIF($B8:$E8,K$3)</f>
        <v>2</v>
      </c>
      <c r="L8" s="24" t="n">
        <f aca="false">COUNTIF($B8:$E8,L$3)</f>
        <v>0</v>
      </c>
      <c r="M8" s="24" t="n">
        <f aca="false">COUNTIF($B8:$E8,M$3)</f>
        <v>0</v>
      </c>
      <c r="N8" s="24" t="n">
        <f aca="false">COUNTIF($B8:$E8,N$3)</f>
        <v>0</v>
      </c>
      <c r="O8" s="24" t="n">
        <f aca="false">COUNTIF($B8:$E8,O$3)</f>
        <v>0</v>
      </c>
      <c r="P8" s="24" t="n">
        <f aca="false">COUNTIF($B8:$E8,P$3)</f>
        <v>0</v>
      </c>
      <c r="Q8" s="24" t="n">
        <f aca="false">COUNTIF($B8:$E8,Q$3)</f>
        <v>0</v>
      </c>
      <c r="R8" s="24" t="n">
        <f aca="false">COUNTIF($B8:$E8,R$3)</f>
        <v>0</v>
      </c>
      <c r="S8" s="24" t="n">
        <f aca="false">COUNTIF($B8:$E8,S$3)</f>
        <v>0</v>
      </c>
      <c r="T8" s="24" t="n">
        <f aca="false">COUNTIF($B8:$E8,T$3)</f>
        <v>0</v>
      </c>
      <c r="U8" s="24" t="n">
        <f aca="false">COUNTIF($B8:$E8,U$3)</f>
        <v>0</v>
      </c>
      <c r="V8" s="24" t="n">
        <f aca="false">COUNTIF($B8:$E8,V$3)</f>
        <v>0</v>
      </c>
      <c r="W8" s="24" t="n">
        <f aca="false">COUNTIF($B8:$E8,W$3)</f>
        <v>0</v>
      </c>
      <c r="X8" s="24" t="n">
        <f aca="false">COUNTIF($B8:$E8,X$3)</f>
        <v>0</v>
      </c>
      <c r="Y8" s="24" t="n">
        <f aca="false">COUNTIF($B8:$E8,Y$3)</f>
        <v>0</v>
      </c>
      <c r="Z8" s="24" t="n">
        <f aca="false">COUNTIF($B8:$E8,Z$3)</f>
        <v>0</v>
      </c>
      <c r="AA8" s="24" t="n">
        <f aca="false">COUNTIF($B8:$E8,AA$3)</f>
        <v>0</v>
      </c>
      <c r="AB8" s="24" t="n">
        <f aca="false">COUNTIF($B8:$E8,AB$3)</f>
        <v>0</v>
      </c>
    </row>
    <row r="9" customFormat="false" ht="15" hidden="false" customHeight="false" outlineLevel="0" collapsed="false">
      <c r="A9" s="24" t="n">
        <f aca="false">Input!A9</f>
        <v>5</v>
      </c>
      <c r="B9" s="24" t="n">
        <f aca="false">IF(Input!B9="","",IF(B$3&gt;Input!$H$4,"",IFERROR(MATCH(Input!B9,Input!$H$10:$H$29,0),"ERR")))</f>
        <v>4</v>
      </c>
      <c r="C9" s="24" t="n">
        <f aca="false">IF(Input!C9="","",IF(C$3&gt;Input!$H$4,"",IFERROR(MATCH(Input!C9,Input!$H$10:$H$29,0),"ERR")))</f>
        <v>4</v>
      </c>
      <c r="D9" s="24" t="str">
        <f aca="false">IF(Input!D9="","",IF(D$3&gt;Input!$H$4,"",IFERROR(MATCH(Input!D9,Input!$H$10:$H$29,0),"ERR")))</f>
        <v/>
      </c>
      <c r="E9" s="24" t="str">
        <f aca="false">IF(Input!E9="","",IF(E$3&gt;Input!$H$4,"",IFERROR(MATCH(Input!E9,Input!$H$10:$H$29,0),"ERR")))</f>
        <v/>
      </c>
      <c r="F9" s="24" t="n">
        <f aca="false">COUNT(B9:E9)</f>
        <v>2</v>
      </c>
      <c r="G9" s="24" t="n">
        <f aca="false">COUNTIF(B9:E9,"ERR")</f>
        <v>0</v>
      </c>
      <c r="H9" s="25" t="n">
        <f aca="false">IF(F9&gt;=2,1/(F9-1),0)</f>
        <v>1</v>
      </c>
      <c r="I9" s="24" t="n">
        <f aca="false">COUNTIF($B9:$E9,I$3)</f>
        <v>0</v>
      </c>
      <c r="J9" s="24" t="n">
        <f aca="false">COUNTIF($B9:$E9,J$3)</f>
        <v>0</v>
      </c>
      <c r="K9" s="24" t="n">
        <f aca="false">COUNTIF($B9:$E9,K$3)</f>
        <v>0</v>
      </c>
      <c r="L9" s="24" t="n">
        <f aca="false">COUNTIF($B9:$E9,L$3)</f>
        <v>2</v>
      </c>
      <c r="M9" s="24" t="n">
        <f aca="false">COUNTIF($B9:$E9,M$3)</f>
        <v>0</v>
      </c>
      <c r="N9" s="24" t="n">
        <f aca="false">COUNTIF($B9:$E9,N$3)</f>
        <v>0</v>
      </c>
      <c r="O9" s="24" t="n">
        <f aca="false">COUNTIF($B9:$E9,O$3)</f>
        <v>0</v>
      </c>
      <c r="P9" s="24" t="n">
        <f aca="false">COUNTIF($B9:$E9,P$3)</f>
        <v>0</v>
      </c>
      <c r="Q9" s="24" t="n">
        <f aca="false">COUNTIF($B9:$E9,Q$3)</f>
        <v>0</v>
      </c>
      <c r="R9" s="24" t="n">
        <f aca="false">COUNTIF($B9:$E9,R$3)</f>
        <v>0</v>
      </c>
      <c r="S9" s="24" t="n">
        <f aca="false">COUNTIF($B9:$E9,S$3)</f>
        <v>0</v>
      </c>
      <c r="T9" s="24" t="n">
        <f aca="false">COUNTIF($B9:$E9,T$3)</f>
        <v>0</v>
      </c>
      <c r="U9" s="24" t="n">
        <f aca="false">COUNTIF($B9:$E9,U$3)</f>
        <v>0</v>
      </c>
      <c r="V9" s="24" t="n">
        <f aca="false">COUNTIF($B9:$E9,V$3)</f>
        <v>0</v>
      </c>
      <c r="W9" s="24" t="n">
        <f aca="false">COUNTIF($B9:$E9,W$3)</f>
        <v>0</v>
      </c>
      <c r="X9" s="24" t="n">
        <f aca="false">COUNTIF($B9:$E9,X$3)</f>
        <v>0</v>
      </c>
      <c r="Y9" s="24" t="n">
        <f aca="false">COUNTIF($B9:$E9,Y$3)</f>
        <v>0</v>
      </c>
      <c r="Z9" s="24" t="n">
        <f aca="false">COUNTIF($B9:$E9,Z$3)</f>
        <v>0</v>
      </c>
      <c r="AA9" s="24" t="n">
        <f aca="false">COUNTIF($B9:$E9,AA$3)</f>
        <v>0</v>
      </c>
      <c r="AB9" s="24" t="n">
        <f aca="false">COUNTIF($B9:$E9,AB$3)</f>
        <v>0</v>
      </c>
    </row>
    <row r="10" customFormat="false" ht="15" hidden="false" customHeight="false" outlineLevel="0" collapsed="false">
      <c r="A10" s="24" t="n">
        <f aca="false">Input!A10</f>
        <v>6</v>
      </c>
      <c r="B10" s="24" t="n">
        <f aca="false">IF(Input!B10="","",IF(B$3&gt;Input!$H$4,"",IFERROR(MATCH(Input!B10,Input!$H$10:$H$29,0),"ERR")))</f>
        <v>4</v>
      </c>
      <c r="C10" s="24" t="n">
        <f aca="false">IF(Input!C10="","",IF(C$3&gt;Input!$H$4,"",IFERROR(MATCH(Input!C10,Input!$H$10:$H$29,0),"ERR")))</f>
        <v>4</v>
      </c>
      <c r="D10" s="24" t="str">
        <f aca="false">IF(Input!D10="","",IF(D$3&gt;Input!$H$4,"",IFERROR(MATCH(Input!D10,Input!$H$10:$H$29,0),"ERR")))</f>
        <v/>
      </c>
      <c r="E10" s="24" t="str">
        <f aca="false">IF(Input!E10="","",IF(E$3&gt;Input!$H$4,"",IFERROR(MATCH(Input!E10,Input!$H$10:$H$29,0),"ERR")))</f>
        <v/>
      </c>
      <c r="F10" s="24" t="n">
        <f aca="false">COUNT(B10:E10)</f>
        <v>2</v>
      </c>
      <c r="G10" s="24" t="n">
        <f aca="false">COUNTIF(B10:E10,"ERR")</f>
        <v>0</v>
      </c>
      <c r="H10" s="25" t="n">
        <f aca="false">IF(F10&gt;=2,1/(F10-1),0)</f>
        <v>1</v>
      </c>
      <c r="I10" s="24" t="n">
        <f aca="false">COUNTIF($B10:$E10,I$3)</f>
        <v>0</v>
      </c>
      <c r="J10" s="24" t="n">
        <f aca="false">COUNTIF($B10:$E10,J$3)</f>
        <v>0</v>
      </c>
      <c r="K10" s="24" t="n">
        <f aca="false">COUNTIF($B10:$E10,K$3)</f>
        <v>0</v>
      </c>
      <c r="L10" s="24" t="n">
        <f aca="false">COUNTIF($B10:$E10,L$3)</f>
        <v>2</v>
      </c>
      <c r="M10" s="24" t="n">
        <f aca="false">COUNTIF($B10:$E10,M$3)</f>
        <v>0</v>
      </c>
      <c r="N10" s="24" t="n">
        <f aca="false">COUNTIF($B10:$E10,N$3)</f>
        <v>0</v>
      </c>
      <c r="O10" s="24" t="n">
        <f aca="false">COUNTIF($B10:$E10,O$3)</f>
        <v>0</v>
      </c>
      <c r="P10" s="24" t="n">
        <f aca="false">COUNTIF($B10:$E10,P$3)</f>
        <v>0</v>
      </c>
      <c r="Q10" s="24" t="n">
        <f aca="false">COUNTIF($B10:$E10,Q$3)</f>
        <v>0</v>
      </c>
      <c r="R10" s="24" t="n">
        <f aca="false">COUNTIF($B10:$E10,R$3)</f>
        <v>0</v>
      </c>
      <c r="S10" s="24" t="n">
        <f aca="false">COUNTIF($B10:$E10,S$3)</f>
        <v>0</v>
      </c>
      <c r="T10" s="24" t="n">
        <f aca="false">COUNTIF($B10:$E10,T$3)</f>
        <v>0</v>
      </c>
      <c r="U10" s="24" t="n">
        <f aca="false">COUNTIF($B10:$E10,U$3)</f>
        <v>0</v>
      </c>
      <c r="V10" s="24" t="n">
        <f aca="false">COUNTIF($B10:$E10,V$3)</f>
        <v>0</v>
      </c>
      <c r="W10" s="24" t="n">
        <f aca="false">COUNTIF($B10:$E10,W$3)</f>
        <v>0</v>
      </c>
      <c r="X10" s="24" t="n">
        <f aca="false">COUNTIF($B10:$E10,X$3)</f>
        <v>0</v>
      </c>
      <c r="Y10" s="24" t="n">
        <f aca="false">COUNTIF($B10:$E10,Y$3)</f>
        <v>0</v>
      </c>
      <c r="Z10" s="24" t="n">
        <f aca="false">COUNTIF($B10:$E10,Z$3)</f>
        <v>0</v>
      </c>
      <c r="AA10" s="24" t="n">
        <f aca="false">COUNTIF($B10:$E10,AA$3)</f>
        <v>0</v>
      </c>
      <c r="AB10" s="24" t="n">
        <f aca="false">COUNTIF($B10:$E10,AB$3)</f>
        <v>0</v>
      </c>
    </row>
    <row r="11" customFormat="false" ht="15" hidden="false" customHeight="false" outlineLevel="0" collapsed="false">
      <c r="A11" s="24" t="n">
        <f aca="false">Input!A11</f>
        <v>7</v>
      </c>
      <c r="B11" s="24" t="n">
        <f aca="false">IF(Input!B11="","",IF(B$3&gt;Input!$H$4,"",IFERROR(MATCH(Input!B11,Input!$H$10:$H$29,0),"ERR")))</f>
        <v>3</v>
      </c>
      <c r="C11" s="24" t="n">
        <f aca="false">IF(Input!C11="","",IF(C$3&gt;Input!$H$4,"",IFERROR(MATCH(Input!C11,Input!$H$10:$H$29,0),"ERR")))</f>
        <v>3</v>
      </c>
      <c r="D11" s="24" t="str">
        <f aca="false">IF(Input!D11="","",IF(D$3&gt;Input!$H$4,"",IFERROR(MATCH(Input!D11,Input!$H$10:$H$29,0),"ERR")))</f>
        <v/>
      </c>
      <c r="E11" s="24" t="str">
        <f aca="false">IF(Input!E11="","",IF(E$3&gt;Input!$H$4,"",IFERROR(MATCH(Input!E11,Input!$H$10:$H$29,0),"ERR")))</f>
        <v/>
      </c>
      <c r="F11" s="24" t="n">
        <f aca="false">COUNT(B11:E11)</f>
        <v>2</v>
      </c>
      <c r="G11" s="24" t="n">
        <f aca="false">COUNTIF(B11:E11,"ERR")</f>
        <v>0</v>
      </c>
      <c r="H11" s="25" t="n">
        <f aca="false">IF(F11&gt;=2,1/(F11-1),0)</f>
        <v>1</v>
      </c>
      <c r="I11" s="24" t="n">
        <f aca="false">COUNTIF($B11:$E11,I$3)</f>
        <v>0</v>
      </c>
      <c r="J11" s="24" t="n">
        <f aca="false">COUNTIF($B11:$E11,J$3)</f>
        <v>0</v>
      </c>
      <c r="K11" s="24" t="n">
        <f aca="false">COUNTIF($B11:$E11,K$3)</f>
        <v>2</v>
      </c>
      <c r="L11" s="24" t="n">
        <f aca="false">COUNTIF($B11:$E11,L$3)</f>
        <v>0</v>
      </c>
      <c r="M11" s="24" t="n">
        <f aca="false">COUNTIF($B11:$E11,M$3)</f>
        <v>0</v>
      </c>
      <c r="N11" s="24" t="n">
        <f aca="false">COUNTIF($B11:$E11,N$3)</f>
        <v>0</v>
      </c>
      <c r="O11" s="24" t="n">
        <f aca="false">COUNTIF($B11:$E11,O$3)</f>
        <v>0</v>
      </c>
      <c r="P11" s="24" t="n">
        <f aca="false">COUNTIF($B11:$E11,P$3)</f>
        <v>0</v>
      </c>
      <c r="Q11" s="24" t="n">
        <f aca="false">COUNTIF($B11:$E11,Q$3)</f>
        <v>0</v>
      </c>
      <c r="R11" s="24" t="n">
        <f aca="false">COUNTIF($B11:$E11,R$3)</f>
        <v>0</v>
      </c>
      <c r="S11" s="24" t="n">
        <f aca="false">COUNTIF($B11:$E11,S$3)</f>
        <v>0</v>
      </c>
      <c r="T11" s="24" t="n">
        <f aca="false">COUNTIF($B11:$E11,T$3)</f>
        <v>0</v>
      </c>
      <c r="U11" s="24" t="n">
        <f aca="false">COUNTIF($B11:$E11,U$3)</f>
        <v>0</v>
      </c>
      <c r="V11" s="24" t="n">
        <f aca="false">COUNTIF($B11:$E11,V$3)</f>
        <v>0</v>
      </c>
      <c r="W11" s="24" t="n">
        <f aca="false">COUNTIF($B11:$E11,W$3)</f>
        <v>0</v>
      </c>
      <c r="X11" s="24" t="n">
        <f aca="false">COUNTIF($B11:$E11,X$3)</f>
        <v>0</v>
      </c>
      <c r="Y11" s="24" t="n">
        <f aca="false">COUNTIF($B11:$E11,Y$3)</f>
        <v>0</v>
      </c>
      <c r="Z11" s="24" t="n">
        <f aca="false">COUNTIF($B11:$E11,Z$3)</f>
        <v>0</v>
      </c>
      <c r="AA11" s="24" t="n">
        <f aca="false">COUNTIF($B11:$E11,AA$3)</f>
        <v>0</v>
      </c>
      <c r="AB11" s="24" t="n">
        <f aca="false">COUNTIF($B11:$E11,AB$3)</f>
        <v>0</v>
      </c>
    </row>
    <row r="12" customFormat="false" ht="15" hidden="false" customHeight="false" outlineLevel="0" collapsed="false">
      <c r="A12" s="24" t="n">
        <f aca="false">Input!A12</f>
        <v>8</v>
      </c>
      <c r="B12" s="24" t="n">
        <f aca="false">IF(Input!B12="","",IF(B$3&gt;Input!$H$4,"",IFERROR(MATCH(Input!B12,Input!$H$10:$H$29,0),"ERR")))</f>
        <v>2</v>
      </c>
      <c r="C12" s="24" t="n">
        <f aca="false">IF(Input!C12="","",IF(C$3&gt;Input!$H$4,"",IFERROR(MATCH(Input!C12,Input!$H$10:$H$29,0),"ERR")))</f>
        <v>2</v>
      </c>
      <c r="D12" s="24" t="str">
        <f aca="false">IF(Input!D12="","",IF(D$3&gt;Input!$H$4,"",IFERROR(MATCH(Input!D12,Input!$H$10:$H$29,0),"ERR")))</f>
        <v/>
      </c>
      <c r="E12" s="24" t="str">
        <f aca="false">IF(Input!E12="","",IF(E$3&gt;Input!$H$4,"",IFERROR(MATCH(Input!E12,Input!$H$10:$H$29,0),"ERR")))</f>
        <v/>
      </c>
      <c r="F12" s="24" t="n">
        <f aca="false">COUNT(B12:E12)</f>
        <v>2</v>
      </c>
      <c r="G12" s="24" t="n">
        <f aca="false">COUNTIF(B12:E12,"ERR")</f>
        <v>0</v>
      </c>
      <c r="H12" s="25" t="n">
        <f aca="false">IF(F12&gt;=2,1/(F12-1),0)</f>
        <v>1</v>
      </c>
      <c r="I12" s="24" t="n">
        <f aca="false">COUNTIF($B12:$E12,I$3)</f>
        <v>0</v>
      </c>
      <c r="J12" s="24" t="n">
        <f aca="false">COUNTIF($B12:$E12,J$3)</f>
        <v>2</v>
      </c>
      <c r="K12" s="24" t="n">
        <f aca="false">COUNTIF($B12:$E12,K$3)</f>
        <v>0</v>
      </c>
      <c r="L12" s="24" t="n">
        <f aca="false">COUNTIF($B12:$E12,L$3)</f>
        <v>0</v>
      </c>
      <c r="M12" s="24" t="n">
        <f aca="false">COUNTIF($B12:$E12,M$3)</f>
        <v>0</v>
      </c>
      <c r="N12" s="24" t="n">
        <f aca="false">COUNTIF($B12:$E12,N$3)</f>
        <v>0</v>
      </c>
      <c r="O12" s="24" t="n">
        <f aca="false">COUNTIF($B12:$E12,O$3)</f>
        <v>0</v>
      </c>
      <c r="P12" s="24" t="n">
        <f aca="false">COUNTIF($B12:$E12,P$3)</f>
        <v>0</v>
      </c>
      <c r="Q12" s="24" t="n">
        <f aca="false">COUNTIF($B12:$E12,Q$3)</f>
        <v>0</v>
      </c>
      <c r="R12" s="24" t="n">
        <f aca="false">COUNTIF($B12:$E12,R$3)</f>
        <v>0</v>
      </c>
      <c r="S12" s="24" t="n">
        <f aca="false">COUNTIF($B12:$E12,S$3)</f>
        <v>0</v>
      </c>
      <c r="T12" s="24" t="n">
        <f aca="false">COUNTIF($B12:$E12,T$3)</f>
        <v>0</v>
      </c>
      <c r="U12" s="24" t="n">
        <f aca="false">COUNTIF($B12:$E12,U$3)</f>
        <v>0</v>
      </c>
      <c r="V12" s="24" t="n">
        <f aca="false">COUNTIF($B12:$E12,V$3)</f>
        <v>0</v>
      </c>
      <c r="W12" s="24" t="n">
        <f aca="false">COUNTIF($B12:$E12,W$3)</f>
        <v>0</v>
      </c>
      <c r="X12" s="24" t="n">
        <f aca="false">COUNTIF($B12:$E12,X$3)</f>
        <v>0</v>
      </c>
      <c r="Y12" s="24" t="n">
        <f aca="false">COUNTIF($B12:$E12,Y$3)</f>
        <v>0</v>
      </c>
      <c r="Z12" s="24" t="n">
        <f aca="false">COUNTIF($B12:$E12,Z$3)</f>
        <v>0</v>
      </c>
      <c r="AA12" s="24" t="n">
        <f aca="false">COUNTIF($B12:$E12,AA$3)</f>
        <v>0</v>
      </c>
      <c r="AB12" s="24" t="n">
        <f aca="false">COUNTIF($B12:$E12,AB$3)</f>
        <v>0</v>
      </c>
    </row>
    <row r="13" customFormat="false" ht="15" hidden="false" customHeight="false" outlineLevel="0" collapsed="false">
      <c r="A13" s="24" t="n">
        <f aca="false">Input!A13</f>
        <v>9</v>
      </c>
      <c r="B13" s="24" t="n">
        <f aca="false">IF(Input!B13="","",IF(B$3&gt;Input!$H$4,"",IFERROR(MATCH(Input!B13,Input!$H$10:$H$29,0),"ERR")))</f>
        <v>2</v>
      </c>
      <c r="C13" s="24" t="n">
        <f aca="false">IF(Input!C13="","",IF(C$3&gt;Input!$H$4,"",IFERROR(MATCH(Input!C13,Input!$H$10:$H$29,0),"ERR")))</f>
        <v>2</v>
      </c>
      <c r="D13" s="24" t="str">
        <f aca="false">IF(Input!D13="","",IF(D$3&gt;Input!$H$4,"",IFERROR(MATCH(Input!D13,Input!$H$10:$H$29,0),"ERR")))</f>
        <v/>
      </c>
      <c r="E13" s="24" t="str">
        <f aca="false">IF(Input!E13="","",IF(E$3&gt;Input!$H$4,"",IFERROR(MATCH(Input!E13,Input!$H$10:$H$29,0),"ERR")))</f>
        <v/>
      </c>
      <c r="F13" s="24" t="n">
        <f aca="false">COUNT(B13:E13)</f>
        <v>2</v>
      </c>
      <c r="G13" s="24" t="n">
        <f aca="false">COUNTIF(B13:E13,"ERR")</f>
        <v>0</v>
      </c>
      <c r="H13" s="25" t="n">
        <f aca="false">IF(F13&gt;=2,1/(F13-1),0)</f>
        <v>1</v>
      </c>
      <c r="I13" s="24" t="n">
        <f aca="false">COUNTIF($B13:$E13,I$3)</f>
        <v>0</v>
      </c>
      <c r="J13" s="24" t="n">
        <f aca="false">COUNTIF($B13:$E13,J$3)</f>
        <v>2</v>
      </c>
      <c r="K13" s="24" t="n">
        <f aca="false">COUNTIF($B13:$E13,K$3)</f>
        <v>0</v>
      </c>
      <c r="L13" s="24" t="n">
        <f aca="false">COUNTIF($B13:$E13,L$3)</f>
        <v>0</v>
      </c>
      <c r="M13" s="24" t="n">
        <f aca="false">COUNTIF($B13:$E13,M$3)</f>
        <v>0</v>
      </c>
      <c r="N13" s="24" t="n">
        <f aca="false">COUNTIF($B13:$E13,N$3)</f>
        <v>0</v>
      </c>
      <c r="O13" s="24" t="n">
        <f aca="false">COUNTIF($B13:$E13,O$3)</f>
        <v>0</v>
      </c>
      <c r="P13" s="24" t="n">
        <f aca="false">COUNTIF($B13:$E13,P$3)</f>
        <v>0</v>
      </c>
      <c r="Q13" s="24" t="n">
        <f aca="false">COUNTIF($B13:$E13,Q$3)</f>
        <v>0</v>
      </c>
      <c r="R13" s="24" t="n">
        <f aca="false">COUNTIF($B13:$E13,R$3)</f>
        <v>0</v>
      </c>
      <c r="S13" s="24" t="n">
        <f aca="false">COUNTIF($B13:$E13,S$3)</f>
        <v>0</v>
      </c>
      <c r="T13" s="24" t="n">
        <f aca="false">COUNTIF($B13:$E13,T$3)</f>
        <v>0</v>
      </c>
      <c r="U13" s="24" t="n">
        <f aca="false">COUNTIF($B13:$E13,U$3)</f>
        <v>0</v>
      </c>
      <c r="V13" s="24" t="n">
        <f aca="false">COUNTIF($B13:$E13,V$3)</f>
        <v>0</v>
      </c>
      <c r="W13" s="24" t="n">
        <f aca="false">COUNTIF($B13:$E13,W$3)</f>
        <v>0</v>
      </c>
      <c r="X13" s="24" t="n">
        <f aca="false">COUNTIF($B13:$E13,X$3)</f>
        <v>0</v>
      </c>
      <c r="Y13" s="24" t="n">
        <f aca="false">COUNTIF($B13:$E13,Y$3)</f>
        <v>0</v>
      </c>
      <c r="Z13" s="24" t="n">
        <f aca="false">COUNTIF($B13:$E13,Z$3)</f>
        <v>0</v>
      </c>
      <c r="AA13" s="24" t="n">
        <f aca="false">COUNTIF($B13:$E13,AA$3)</f>
        <v>0</v>
      </c>
      <c r="AB13" s="24" t="n">
        <f aca="false">COUNTIF($B13:$E13,AB$3)</f>
        <v>0</v>
      </c>
    </row>
    <row r="14" customFormat="false" ht="15" hidden="false" customHeight="false" outlineLevel="0" collapsed="false">
      <c r="A14" s="24" t="n">
        <f aca="false">Input!A14</f>
        <v>10</v>
      </c>
      <c r="B14" s="24" t="n">
        <f aca="false">IF(Input!B14="","",IF(B$3&gt;Input!$H$4,"",IFERROR(MATCH(Input!B14,Input!$H$10:$H$29,0),"ERR")))</f>
        <v>3</v>
      </c>
      <c r="C14" s="24" t="n">
        <f aca="false">IF(Input!C14="","",IF(C$3&gt;Input!$H$4,"",IFERROR(MATCH(Input!C14,Input!$H$10:$H$29,0),"ERR")))</f>
        <v>3</v>
      </c>
      <c r="D14" s="24" t="str">
        <f aca="false">IF(Input!D14="","",IF(D$3&gt;Input!$H$4,"",IFERROR(MATCH(Input!D14,Input!$H$10:$H$29,0),"ERR")))</f>
        <v/>
      </c>
      <c r="E14" s="24" t="str">
        <f aca="false">IF(Input!E14="","",IF(E$3&gt;Input!$H$4,"",IFERROR(MATCH(Input!E14,Input!$H$10:$H$29,0),"ERR")))</f>
        <v/>
      </c>
      <c r="F14" s="24" t="n">
        <f aca="false">COUNT(B14:E14)</f>
        <v>2</v>
      </c>
      <c r="G14" s="24" t="n">
        <f aca="false">COUNTIF(B14:E14,"ERR")</f>
        <v>0</v>
      </c>
      <c r="H14" s="25" t="n">
        <f aca="false">IF(F14&gt;=2,1/(F14-1),0)</f>
        <v>1</v>
      </c>
      <c r="I14" s="24" t="n">
        <f aca="false">COUNTIF($B14:$E14,I$3)</f>
        <v>0</v>
      </c>
      <c r="J14" s="24" t="n">
        <f aca="false">COUNTIF($B14:$E14,J$3)</f>
        <v>0</v>
      </c>
      <c r="K14" s="24" t="n">
        <f aca="false">COUNTIF($B14:$E14,K$3)</f>
        <v>2</v>
      </c>
      <c r="L14" s="24" t="n">
        <f aca="false">COUNTIF($B14:$E14,L$3)</f>
        <v>0</v>
      </c>
      <c r="M14" s="24" t="n">
        <f aca="false">COUNTIF($B14:$E14,M$3)</f>
        <v>0</v>
      </c>
      <c r="N14" s="24" t="n">
        <f aca="false">COUNTIF($B14:$E14,N$3)</f>
        <v>0</v>
      </c>
      <c r="O14" s="24" t="n">
        <f aca="false">COUNTIF($B14:$E14,O$3)</f>
        <v>0</v>
      </c>
      <c r="P14" s="24" t="n">
        <f aca="false">COUNTIF($B14:$E14,P$3)</f>
        <v>0</v>
      </c>
      <c r="Q14" s="24" t="n">
        <f aca="false">COUNTIF($B14:$E14,Q$3)</f>
        <v>0</v>
      </c>
      <c r="R14" s="24" t="n">
        <f aca="false">COUNTIF($B14:$E14,R$3)</f>
        <v>0</v>
      </c>
      <c r="S14" s="24" t="n">
        <f aca="false">COUNTIF($B14:$E14,S$3)</f>
        <v>0</v>
      </c>
      <c r="T14" s="24" t="n">
        <f aca="false">COUNTIF($B14:$E14,T$3)</f>
        <v>0</v>
      </c>
      <c r="U14" s="24" t="n">
        <f aca="false">COUNTIF($B14:$E14,U$3)</f>
        <v>0</v>
      </c>
      <c r="V14" s="24" t="n">
        <f aca="false">COUNTIF($B14:$E14,V$3)</f>
        <v>0</v>
      </c>
      <c r="W14" s="24" t="n">
        <f aca="false">COUNTIF($B14:$E14,W$3)</f>
        <v>0</v>
      </c>
      <c r="X14" s="24" t="n">
        <f aca="false">COUNTIF($B14:$E14,X$3)</f>
        <v>0</v>
      </c>
      <c r="Y14" s="24" t="n">
        <f aca="false">COUNTIF($B14:$E14,Y$3)</f>
        <v>0</v>
      </c>
      <c r="Z14" s="24" t="n">
        <f aca="false">COUNTIF($B14:$E14,Z$3)</f>
        <v>0</v>
      </c>
      <c r="AA14" s="24" t="n">
        <f aca="false">COUNTIF($B14:$E14,AA$3)</f>
        <v>0</v>
      </c>
      <c r="AB14" s="24" t="n">
        <f aca="false">COUNTIF($B14:$E14,AB$3)</f>
        <v>0</v>
      </c>
    </row>
    <row r="15" customFormat="false" ht="15" hidden="false" customHeight="false" outlineLevel="0" collapsed="false">
      <c r="A15" s="24" t="n">
        <f aca="false">Input!A15</f>
        <v>11</v>
      </c>
      <c r="B15" s="24" t="n">
        <f aca="false">IF(Input!B15="","",IF(B$3&gt;Input!$H$4,"",IFERROR(MATCH(Input!B15,Input!$H$10:$H$29,0),"ERR")))</f>
        <v>4</v>
      </c>
      <c r="C15" s="24" t="n">
        <f aca="false">IF(Input!C15="","",IF(C$3&gt;Input!$H$4,"",IFERROR(MATCH(Input!C15,Input!$H$10:$H$29,0),"ERR")))</f>
        <v>4</v>
      </c>
      <c r="D15" s="24" t="str">
        <f aca="false">IF(Input!D15="","",IF(D$3&gt;Input!$H$4,"",IFERROR(MATCH(Input!D15,Input!$H$10:$H$29,0),"ERR")))</f>
        <v/>
      </c>
      <c r="E15" s="24" t="str">
        <f aca="false">IF(Input!E15="","",IF(E$3&gt;Input!$H$4,"",IFERROR(MATCH(Input!E15,Input!$H$10:$H$29,0),"ERR")))</f>
        <v/>
      </c>
      <c r="F15" s="24" t="n">
        <f aca="false">COUNT(B15:E15)</f>
        <v>2</v>
      </c>
      <c r="G15" s="24" t="n">
        <f aca="false">COUNTIF(B15:E15,"ERR")</f>
        <v>0</v>
      </c>
      <c r="H15" s="25" t="n">
        <f aca="false">IF(F15&gt;=2,1/(F15-1),0)</f>
        <v>1</v>
      </c>
      <c r="I15" s="24" t="n">
        <f aca="false">COUNTIF($B15:$E15,I$3)</f>
        <v>0</v>
      </c>
      <c r="J15" s="24" t="n">
        <f aca="false">COUNTIF($B15:$E15,J$3)</f>
        <v>0</v>
      </c>
      <c r="K15" s="24" t="n">
        <f aca="false">COUNTIF($B15:$E15,K$3)</f>
        <v>0</v>
      </c>
      <c r="L15" s="24" t="n">
        <f aca="false">COUNTIF($B15:$E15,L$3)</f>
        <v>2</v>
      </c>
      <c r="M15" s="24" t="n">
        <f aca="false">COUNTIF($B15:$E15,M$3)</f>
        <v>0</v>
      </c>
      <c r="N15" s="24" t="n">
        <f aca="false">COUNTIF($B15:$E15,N$3)</f>
        <v>0</v>
      </c>
      <c r="O15" s="24" t="n">
        <f aca="false">COUNTIF($B15:$E15,O$3)</f>
        <v>0</v>
      </c>
      <c r="P15" s="24" t="n">
        <f aca="false">COUNTIF($B15:$E15,P$3)</f>
        <v>0</v>
      </c>
      <c r="Q15" s="24" t="n">
        <f aca="false">COUNTIF($B15:$E15,Q$3)</f>
        <v>0</v>
      </c>
      <c r="R15" s="24" t="n">
        <f aca="false">COUNTIF($B15:$E15,R$3)</f>
        <v>0</v>
      </c>
      <c r="S15" s="24" t="n">
        <f aca="false">COUNTIF($B15:$E15,S$3)</f>
        <v>0</v>
      </c>
      <c r="T15" s="24" t="n">
        <f aca="false">COUNTIF($B15:$E15,T$3)</f>
        <v>0</v>
      </c>
      <c r="U15" s="24" t="n">
        <f aca="false">COUNTIF($B15:$E15,U$3)</f>
        <v>0</v>
      </c>
      <c r="V15" s="24" t="n">
        <f aca="false">COUNTIF($B15:$E15,V$3)</f>
        <v>0</v>
      </c>
      <c r="W15" s="24" t="n">
        <f aca="false">COUNTIF($B15:$E15,W$3)</f>
        <v>0</v>
      </c>
      <c r="X15" s="24" t="n">
        <f aca="false">COUNTIF($B15:$E15,X$3)</f>
        <v>0</v>
      </c>
      <c r="Y15" s="24" t="n">
        <f aca="false">COUNTIF($B15:$E15,Y$3)</f>
        <v>0</v>
      </c>
      <c r="Z15" s="24" t="n">
        <f aca="false">COUNTIF($B15:$E15,Z$3)</f>
        <v>0</v>
      </c>
      <c r="AA15" s="24" t="n">
        <f aca="false">COUNTIF($B15:$E15,AA$3)</f>
        <v>0</v>
      </c>
      <c r="AB15" s="24" t="n">
        <f aca="false">COUNTIF($B15:$E15,AB$3)</f>
        <v>0</v>
      </c>
    </row>
    <row r="16" customFormat="false" ht="15" hidden="false" customHeight="false" outlineLevel="0" collapsed="false">
      <c r="A16" s="24" t="n">
        <f aca="false">Input!A16</f>
        <v>12</v>
      </c>
      <c r="B16" s="24" t="n">
        <f aca="false">IF(Input!B16="","",IF(B$3&gt;Input!$H$4,"",IFERROR(MATCH(Input!B16,Input!$H$10:$H$29,0),"ERR")))</f>
        <v>1</v>
      </c>
      <c r="C16" s="24" t="n">
        <f aca="false">IF(Input!C16="","",IF(C$3&gt;Input!$H$4,"",IFERROR(MATCH(Input!C16,Input!$H$10:$H$29,0),"ERR")))</f>
        <v>1</v>
      </c>
      <c r="D16" s="24" t="str">
        <f aca="false">IF(Input!D16="","",IF(D$3&gt;Input!$H$4,"",IFERROR(MATCH(Input!D16,Input!$H$10:$H$29,0),"ERR")))</f>
        <v/>
      </c>
      <c r="E16" s="24" t="str">
        <f aca="false">IF(Input!E16="","",IF(E$3&gt;Input!$H$4,"",IFERROR(MATCH(Input!E16,Input!$H$10:$H$29,0),"ERR")))</f>
        <v/>
      </c>
      <c r="F16" s="24" t="n">
        <f aca="false">COUNT(B16:E16)</f>
        <v>2</v>
      </c>
      <c r="G16" s="24" t="n">
        <f aca="false">COUNTIF(B16:E16,"ERR")</f>
        <v>0</v>
      </c>
      <c r="H16" s="25" t="n">
        <f aca="false">IF(F16&gt;=2,1/(F16-1),0)</f>
        <v>1</v>
      </c>
      <c r="I16" s="24" t="n">
        <f aca="false">COUNTIF($B16:$E16,I$3)</f>
        <v>2</v>
      </c>
      <c r="J16" s="24" t="n">
        <f aca="false">COUNTIF($B16:$E16,J$3)</f>
        <v>0</v>
      </c>
      <c r="K16" s="24" t="n">
        <f aca="false">COUNTIF($B16:$E16,K$3)</f>
        <v>0</v>
      </c>
      <c r="L16" s="24" t="n">
        <f aca="false">COUNTIF($B16:$E16,L$3)</f>
        <v>0</v>
      </c>
      <c r="M16" s="24" t="n">
        <f aca="false">COUNTIF($B16:$E16,M$3)</f>
        <v>0</v>
      </c>
      <c r="N16" s="24" t="n">
        <f aca="false">COUNTIF($B16:$E16,N$3)</f>
        <v>0</v>
      </c>
      <c r="O16" s="24" t="n">
        <f aca="false">COUNTIF($B16:$E16,O$3)</f>
        <v>0</v>
      </c>
      <c r="P16" s="24" t="n">
        <f aca="false">COUNTIF($B16:$E16,P$3)</f>
        <v>0</v>
      </c>
      <c r="Q16" s="24" t="n">
        <f aca="false">COUNTIF($B16:$E16,Q$3)</f>
        <v>0</v>
      </c>
      <c r="R16" s="24" t="n">
        <f aca="false">COUNTIF($B16:$E16,R$3)</f>
        <v>0</v>
      </c>
      <c r="S16" s="24" t="n">
        <f aca="false">COUNTIF($B16:$E16,S$3)</f>
        <v>0</v>
      </c>
      <c r="T16" s="24" t="n">
        <f aca="false">COUNTIF($B16:$E16,T$3)</f>
        <v>0</v>
      </c>
      <c r="U16" s="24" t="n">
        <f aca="false">COUNTIF($B16:$E16,U$3)</f>
        <v>0</v>
      </c>
      <c r="V16" s="24" t="n">
        <f aca="false">COUNTIF($B16:$E16,V$3)</f>
        <v>0</v>
      </c>
      <c r="W16" s="24" t="n">
        <f aca="false">COUNTIF($B16:$E16,W$3)</f>
        <v>0</v>
      </c>
      <c r="X16" s="24" t="n">
        <f aca="false">COUNTIF($B16:$E16,X$3)</f>
        <v>0</v>
      </c>
      <c r="Y16" s="24" t="n">
        <f aca="false">COUNTIF($B16:$E16,Y$3)</f>
        <v>0</v>
      </c>
      <c r="Z16" s="24" t="n">
        <f aca="false">COUNTIF($B16:$E16,Z$3)</f>
        <v>0</v>
      </c>
      <c r="AA16" s="24" t="n">
        <f aca="false">COUNTIF($B16:$E16,AA$3)</f>
        <v>0</v>
      </c>
      <c r="AB16" s="24" t="n">
        <f aca="false">COUNTIF($B16:$E16,AB$3)</f>
        <v>0</v>
      </c>
    </row>
    <row r="17" customFormat="false" ht="15" hidden="false" customHeight="false" outlineLevel="0" collapsed="false">
      <c r="A17" s="24" t="n">
        <f aca="false">Input!A17</f>
        <v>13</v>
      </c>
      <c r="B17" s="24" t="str">
        <f aca="false">IF(Input!B17="","",IF(B$3&gt;Input!$H$4,"",IFERROR(MATCH(Input!B17,Input!$H$10:$H$29,0),"ERR")))</f>
        <v/>
      </c>
      <c r="C17" s="24" t="str">
        <f aca="false">IF(Input!C17="","",IF(C$3&gt;Input!$H$4,"",IFERROR(MATCH(Input!C17,Input!$H$10:$H$29,0),"ERR")))</f>
        <v/>
      </c>
      <c r="D17" s="24" t="str">
        <f aca="false">IF(Input!D17="","",IF(D$3&gt;Input!$H$4,"",IFERROR(MATCH(Input!D17,Input!$H$10:$H$29,0),"ERR")))</f>
        <v/>
      </c>
      <c r="E17" s="24" t="str">
        <f aca="false">IF(Input!E17="","",IF(E$3&gt;Input!$H$4,"",IFERROR(MATCH(Input!E17,Input!$H$10:$H$29,0),"ERR")))</f>
        <v/>
      </c>
      <c r="F17" s="24" t="n">
        <f aca="false">COUNT(B17:E17)</f>
        <v>0</v>
      </c>
      <c r="G17" s="24" t="n">
        <f aca="false">COUNTIF(B17:E17,"ERR")</f>
        <v>0</v>
      </c>
      <c r="H17" s="25" t="n">
        <f aca="false">IF(F17&gt;=2,1/(F17-1),0)</f>
        <v>0</v>
      </c>
      <c r="I17" s="24" t="n">
        <f aca="false">COUNTIF($B17:$E17,I$3)</f>
        <v>0</v>
      </c>
      <c r="J17" s="24" t="n">
        <f aca="false">COUNTIF($B17:$E17,J$3)</f>
        <v>0</v>
      </c>
      <c r="K17" s="24" t="n">
        <f aca="false">COUNTIF($B17:$E17,K$3)</f>
        <v>0</v>
      </c>
      <c r="L17" s="24" t="n">
        <f aca="false">COUNTIF($B17:$E17,L$3)</f>
        <v>0</v>
      </c>
      <c r="M17" s="24" t="n">
        <f aca="false">COUNTIF($B17:$E17,M$3)</f>
        <v>0</v>
      </c>
      <c r="N17" s="24" t="n">
        <f aca="false">COUNTIF($B17:$E17,N$3)</f>
        <v>0</v>
      </c>
      <c r="O17" s="24" t="n">
        <f aca="false">COUNTIF($B17:$E17,O$3)</f>
        <v>0</v>
      </c>
      <c r="P17" s="24" t="n">
        <f aca="false">COUNTIF($B17:$E17,P$3)</f>
        <v>0</v>
      </c>
      <c r="Q17" s="24" t="n">
        <f aca="false">COUNTIF($B17:$E17,Q$3)</f>
        <v>0</v>
      </c>
      <c r="R17" s="24" t="n">
        <f aca="false">COUNTIF($B17:$E17,R$3)</f>
        <v>0</v>
      </c>
      <c r="S17" s="24" t="n">
        <f aca="false">COUNTIF($B17:$E17,S$3)</f>
        <v>0</v>
      </c>
      <c r="T17" s="24" t="n">
        <f aca="false">COUNTIF($B17:$E17,T$3)</f>
        <v>0</v>
      </c>
      <c r="U17" s="24" t="n">
        <f aca="false">COUNTIF($B17:$E17,U$3)</f>
        <v>0</v>
      </c>
      <c r="V17" s="24" t="n">
        <f aca="false">COUNTIF($B17:$E17,V$3)</f>
        <v>0</v>
      </c>
      <c r="W17" s="24" t="n">
        <f aca="false">COUNTIF($B17:$E17,W$3)</f>
        <v>0</v>
      </c>
      <c r="X17" s="24" t="n">
        <f aca="false">COUNTIF($B17:$E17,X$3)</f>
        <v>0</v>
      </c>
      <c r="Y17" s="24" t="n">
        <f aca="false">COUNTIF($B17:$E17,Y$3)</f>
        <v>0</v>
      </c>
      <c r="Z17" s="24" t="n">
        <f aca="false">COUNTIF($B17:$E17,Z$3)</f>
        <v>0</v>
      </c>
      <c r="AA17" s="24" t="n">
        <f aca="false">COUNTIF($B17:$E17,AA$3)</f>
        <v>0</v>
      </c>
      <c r="AB17" s="24" t="n">
        <f aca="false">COUNTIF($B17:$E17,AB$3)</f>
        <v>0</v>
      </c>
    </row>
    <row r="18" customFormat="false" ht="15" hidden="false" customHeight="false" outlineLevel="0" collapsed="false">
      <c r="A18" s="24" t="n">
        <f aca="false">Input!A18</f>
        <v>14</v>
      </c>
      <c r="B18" s="24" t="str">
        <f aca="false">IF(Input!B18="","",IF(B$3&gt;Input!$H$4,"",IFERROR(MATCH(Input!B18,Input!$H$10:$H$29,0),"ERR")))</f>
        <v/>
      </c>
      <c r="C18" s="24" t="str">
        <f aca="false">IF(Input!C18="","",IF(C$3&gt;Input!$H$4,"",IFERROR(MATCH(Input!C18,Input!$H$10:$H$29,0),"ERR")))</f>
        <v/>
      </c>
      <c r="D18" s="24" t="str">
        <f aca="false">IF(Input!D18="","",IF(D$3&gt;Input!$H$4,"",IFERROR(MATCH(Input!D18,Input!$H$10:$H$29,0),"ERR")))</f>
        <v/>
      </c>
      <c r="E18" s="24" t="str">
        <f aca="false">IF(Input!E18="","",IF(E$3&gt;Input!$H$4,"",IFERROR(MATCH(Input!E18,Input!$H$10:$H$29,0),"ERR")))</f>
        <v/>
      </c>
      <c r="F18" s="24" t="n">
        <f aca="false">COUNT(B18:E18)</f>
        <v>0</v>
      </c>
      <c r="G18" s="24" t="n">
        <f aca="false">COUNTIF(B18:E18,"ERR")</f>
        <v>0</v>
      </c>
      <c r="H18" s="25" t="n">
        <f aca="false">IF(F18&gt;=2,1/(F18-1),0)</f>
        <v>0</v>
      </c>
      <c r="I18" s="24" t="n">
        <f aca="false">COUNTIF($B18:$E18,I$3)</f>
        <v>0</v>
      </c>
      <c r="J18" s="24" t="n">
        <f aca="false">COUNTIF($B18:$E18,J$3)</f>
        <v>0</v>
      </c>
      <c r="K18" s="24" t="n">
        <f aca="false">COUNTIF($B18:$E18,K$3)</f>
        <v>0</v>
      </c>
      <c r="L18" s="24" t="n">
        <f aca="false">COUNTIF($B18:$E18,L$3)</f>
        <v>0</v>
      </c>
      <c r="M18" s="24" t="n">
        <f aca="false">COUNTIF($B18:$E18,M$3)</f>
        <v>0</v>
      </c>
      <c r="N18" s="24" t="n">
        <f aca="false">COUNTIF($B18:$E18,N$3)</f>
        <v>0</v>
      </c>
      <c r="O18" s="24" t="n">
        <f aca="false">COUNTIF($B18:$E18,O$3)</f>
        <v>0</v>
      </c>
      <c r="P18" s="24" t="n">
        <f aca="false">COUNTIF($B18:$E18,P$3)</f>
        <v>0</v>
      </c>
      <c r="Q18" s="24" t="n">
        <f aca="false">COUNTIF($B18:$E18,Q$3)</f>
        <v>0</v>
      </c>
      <c r="R18" s="24" t="n">
        <f aca="false">COUNTIF($B18:$E18,R$3)</f>
        <v>0</v>
      </c>
      <c r="S18" s="24" t="n">
        <f aca="false">COUNTIF($B18:$E18,S$3)</f>
        <v>0</v>
      </c>
      <c r="T18" s="24" t="n">
        <f aca="false">COUNTIF($B18:$E18,T$3)</f>
        <v>0</v>
      </c>
      <c r="U18" s="24" t="n">
        <f aca="false">COUNTIF($B18:$E18,U$3)</f>
        <v>0</v>
      </c>
      <c r="V18" s="24" t="n">
        <f aca="false">COUNTIF($B18:$E18,V$3)</f>
        <v>0</v>
      </c>
      <c r="W18" s="24" t="n">
        <f aca="false">COUNTIF($B18:$E18,W$3)</f>
        <v>0</v>
      </c>
      <c r="X18" s="24" t="n">
        <f aca="false">COUNTIF($B18:$E18,X$3)</f>
        <v>0</v>
      </c>
      <c r="Y18" s="24" t="n">
        <f aca="false">COUNTIF($B18:$E18,Y$3)</f>
        <v>0</v>
      </c>
      <c r="Z18" s="24" t="n">
        <f aca="false">COUNTIF($B18:$E18,Z$3)</f>
        <v>0</v>
      </c>
      <c r="AA18" s="24" t="n">
        <f aca="false">COUNTIF($B18:$E18,AA$3)</f>
        <v>0</v>
      </c>
      <c r="AB18" s="24" t="n">
        <f aca="false">COUNTIF($B18:$E18,AB$3)</f>
        <v>0</v>
      </c>
    </row>
    <row r="19" customFormat="false" ht="15" hidden="false" customHeight="false" outlineLevel="0" collapsed="false">
      <c r="A19" s="24" t="n">
        <f aca="false">Input!A19</f>
        <v>15</v>
      </c>
      <c r="B19" s="24" t="str">
        <f aca="false">IF(Input!B19="","",IF(B$3&gt;Input!$H$4,"",IFERROR(MATCH(Input!B19,Input!$H$10:$H$29,0),"ERR")))</f>
        <v/>
      </c>
      <c r="C19" s="24" t="str">
        <f aca="false">IF(Input!C19="","",IF(C$3&gt;Input!$H$4,"",IFERROR(MATCH(Input!C19,Input!$H$10:$H$29,0),"ERR")))</f>
        <v/>
      </c>
      <c r="D19" s="24" t="str">
        <f aca="false">IF(Input!D19="","",IF(D$3&gt;Input!$H$4,"",IFERROR(MATCH(Input!D19,Input!$H$10:$H$29,0),"ERR")))</f>
        <v/>
      </c>
      <c r="E19" s="24" t="str">
        <f aca="false">IF(Input!E19="","",IF(E$3&gt;Input!$H$4,"",IFERROR(MATCH(Input!E19,Input!$H$10:$H$29,0),"ERR")))</f>
        <v/>
      </c>
      <c r="F19" s="24" t="n">
        <f aca="false">COUNT(B19:E19)</f>
        <v>0</v>
      </c>
      <c r="G19" s="24" t="n">
        <f aca="false">COUNTIF(B19:E19,"ERR")</f>
        <v>0</v>
      </c>
      <c r="H19" s="25" t="n">
        <f aca="false">IF(F19&gt;=2,1/(F19-1),0)</f>
        <v>0</v>
      </c>
      <c r="I19" s="24" t="n">
        <f aca="false">COUNTIF($B19:$E19,I$3)</f>
        <v>0</v>
      </c>
      <c r="J19" s="24" t="n">
        <f aca="false">COUNTIF($B19:$E19,J$3)</f>
        <v>0</v>
      </c>
      <c r="K19" s="24" t="n">
        <f aca="false">COUNTIF($B19:$E19,K$3)</f>
        <v>0</v>
      </c>
      <c r="L19" s="24" t="n">
        <f aca="false">COUNTIF($B19:$E19,L$3)</f>
        <v>0</v>
      </c>
      <c r="M19" s="24" t="n">
        <f aca="false">COUNTIF($B19:$E19,M$3)</f>
        <v>0</v>
      </c>
      <c r="N19" s="24" t="n">
        <f aca="false">COUNTIF($B19:$E19,N$3)</f>
        <v>0</v>
      </c>
      <c r="O19" s="24" t="n">
        <f aca="false">COUNTIF($B19:$E19,O$3)</f>
        <v>0</v>
      </c>
      <c r="P19" s="24" t="n">
        <f aca="false">COUNTIF($B19:$E19,P$3)</f>
        <v>0</v>
      </c>
      <c r="Q19" s="24" t="n">
        <f aca="false">COUNTIF($B19:$E19,Q$3)</f>
        <v>0</v>
      </c>
      <c r="R19" s="24" t="n">
        <f aca="false">COUNTIF($B19:$E19,R$3)</f>
        <v>0</v>
      </c>
      <c r="S19" s="24" t="n">
        <f aca="false">COUNTIF($B19:$E19,S$3)</f>
        <v>0</v>
      </c>
      <c r="T19" s="24" t="n">
        <f aca="false">COUNTIF($B19:$E19,T$3)</f>
        <v>0</v>
      </c>
      <c r="U19" s="24" t="n">
        <f aca="false">COUNTIF($B19:$E19,U$3)</f>
        <v>0</v>
      </c>
      <c r="V19" s="24" t="n">
        <f aca="false">COUNTIF($B19:$E19,V$3)</f>
        <v>0</v>
      </c>
      <c r="W19" s="24" t="n">
        <f aca="false">COUNTIF($B19:$E19,W$3)</f>
        <v>0</v>
      </c>
      <c r="X19" s="24" t="n">
        <f aca="false">COUNTIF($B19:$E19,X$3)</f>
        <v>0</v>
      </c>
      <c r="Y19" s="24" t="n">
        <f aca="false">COUNTIF($B19:$E19,Y$3)</f>
        <v>0</v>
      </c>
      <c r="Z19" s="24" t="n">
        <f aca="false">COUNTIF($B19:$E19,Z$3)</f>
        <v>0</v>
      </c>
      <c r="AA19" s="24" t="n">
        <f aca="false">COUNTIF($B19:$E19,AA$3)</f>
        <v>0</v>
      </c>
      <c r="AB19" s="24" t="n">
        <f aca="false">COUNTIF($B19:$E19,AB$3)</f>
        <v>0</v>
      </c>
    </row>
    <row r="20" customFormat="false" ht="15" hidden="false" customHeight="false" outlineLevel="0" collapsed="false">
      <c r="A20" s="24" t="n">
        <f aca="false">Input!A20</f>
        <v>16</v>
      </c>
      <c r="B20" s="24" t="str">
        <f aca="false">IF(Input!B20="","",IF(B$3&gt;Input!$H$4,"",IFERROR(MATCH(Input!B20,Input!$H$10:$H$29,0),"ERR")))</f>
        <v/>
      </c>
      <c r="C20" s="24" t="str">
        <f aca="false">IF(Input!C20="","",IF(C$3&gt;Input!$H$4,"",IFERROR(MATCH(Input!C20,Input!$H$10:$H$29,0),"ERR")))</f>
        <v/>
      </c>
      <c r="D20" s="24" t="str">
        <f aca="false">IF(Input!D20="","",IF(D$3&gt;Input!$H$4,"",IFERROR(MATCH(Input!D20,Input!$H$10:$H$29,0),"ERR")))</f>
        <v/>
      </c>
      <c r="E20" s="24" t="str">
        <f aca="false">IF(Input!E20="","",IF(E$3&gt;Input!$H$4,"",IFERROR(MATCH(Input!E20,Input!$H$10:$H$29,0),"ERR")))</f>
        <v/>
      </c>
      <c r="F20" s="24" t="n">
        <f aca="false">COUNT(B20:E20)</f>
        <v>0</v>
      </c>
      <c r="G20" s="24" t="n">
        <f aca="false">COUNTIF(B20:E20,"ERR")</f>
        <v>0</v>
      </c>
      <c r="H20" s="25" t="n">
        <f aca="false">IF(F20&gt;=2,1/(F20-1),0)</f>
        <v>0</v>
      </c>
      <c r="I20" s="24" t="n">
        <f aca="false">COUNTIF($B20:$E20,I$3)</f>
        <v>0</v>
      </c>
      <c r="J20" s="24" t="n">
        <f aca="false">COUNTIF($B20:$E20,J$3)</f>
        <v>0</v>
      </c>
      <c r="K20" s="24" t="n">
        <f aca="false">COUNTIF($B20:$E20,K$3)</f>
        <v>0</v>
      </c>
      <c r="L20" s="24" t="n">
        <f aca="false">COUNTIF($B20:$E20,L$3)</f>
        <v>0</v>
      </c>
      <c r="M20" s="24" t="n">
        <f aca="false">COUNTIF($B20:$E20,M$3)</f>
        <v>0</v>
      </c>
      <c r="N20" s="24" t="n">
        <f aca="false">COUNTIF($B20:$E20,N$3)</f>
        <v>0</v>
      </c>
      <c r="O20" s="24" t="n">
        <f aca="false">COUNTIF($B20:$E20,O$3)</f>
        <v>0</v>
      </c>
      <c r="P20" s="24" t="n">
        <f aca="false">COUNTIF($B20:$E20,P$3)</f>
        <v>0</v>
      </c>
      <c r="Q20" s="24" t="n">
        <f aca="false">COUNTIF($B20:$E20,Q$3)</f>
        <v>0</v>
      </c>
      <c r="R20" s="24" t="n">
        <f aca="false">COUNTIF($B20:$E20,R$3)</f>
        <v>0</v>
      </c>
      <c r="S20" s="24" t="n">
        <f aca="false">COUNTIF($B20:$E20,S$3)</f>
        <v>0</v>
      </c>
      <c r="T20" s="24" t="n">
        <f aca="false">COUNTIF($B20:$E20,T$3)</f>
        <v>0</v>
      </c>
      <c r="U20" s="24" t="n">
        <f aca="false">COUNTIF($B20:$E20,U$3)</f>
        <v>0</v>
      </c>
      <c r="V20" s="24" t="n">
        <f aca="false">COUNTIF($B20:$E20,V$3)</f>
        <v>0</v>
      </c>
      <c r="W20" s="24" t="n">
        <f aca="false">COUNTIF($B20:$E20,W$3)</f>
        <v>0</v>
      </c>
      <c r="X20" s="24" t="n">
        <f aca="false">COUNTIF($B20:$E20,X$3)</f>
        <v>0</v>
      </c>
      <c r="Y20" s="24" t="n">
        <f aca="false">COUNTIF($B20:$E20,Y$3)</f>
        <v>0</v>
      </c>
      <c r="Z20" s="24" t="n">
        <f aca="false">COUNTIF($B20:$E20,Z$3)</f>
        <v>0</v>
      </c>
      <c r="AA20" s="24" t="n">
        <f aca="false">COUNTIF($B20:$E20,AA$3)</f>
        <v>0</v>
      </c>
      <c r="AB20" s="24" t="n">
        <f aca="false">COUNTIF($B20:$E20,AB$3)</f>
        <v>0</v>
      </c>
    </row>
    <row r="21" customFormat="false" ht="15" hidden="false" customHeight="false" outlineLevel="0" collapsed="false">
      <c r="A21" s="24" t="n">
        <f aca="false">Input!A21</f>
        <v>17</v>
      </c>
      <c r="B21" s="24" t="str">
        <f aca="false">IF(Input!B21="","",IF(B$3&gt;Input!$H$4,"",IFERROR(MATCH(Input!B21,Input!$H$10:$H$29,0),"ERR")))</f>
        <v/>
      </c>
      <c r="C21" s="24" t="str">
        <f aca="false">IF(Input!C21="","",IF(C$3&gt;Input!$H$4,"",IFERROR(MATCH(Input!C21,Input!$H$10:$H$29,0),"ERR")))</f>
        <v/>
      </c>
      <c r="D21" s="24" t="str">
        <f aca="false">IF(Input!D21="","",IF(D$3&gt;Input!$H$4,"",IFERROR(MATCH(Input!D21,Input!$H$10:$H$29,0),"ERR")))</f>
        <v/>
      </c>
      <c r="E21" s="24" t="str">
        <f aca="false">IF(Input!E21="","",IF(E$3&gt;Input!$H$4,"",IFERROR(MATCH(Input!E21,Input!$H$10:$H$29,0),"ERR")))</f>
        <v/>
      </c>
      <c r="F21" s="24" t="n">
        <f aca="false">COUNT(B21:E21)</f>
        <v>0</v>
      </c>
      <c r="G21" s="24" t="n">
        <f aca="false">COUNTIF(B21:E21,"ERR")</f>
        <v>0</v>
      </c>
      <c r="H21" s="25" t="n">
        <f aca="false">IF(F21&gt;=2,1/(F21-1),0)</f>
        <v>0</v>
      </c>
      <c r="I21" s="24" t="n">
        <f aca="false">COUNTIF($B21:$E21,I$3)</f>
        <v>0</v>
      </c>
      <c r="J21" s="24" t="n">
        <f aca="false">COUNTIF($B21:$E21,J$3)</f>
        <v>0</v>
      </c>
      <c r="K21" s="24" t="n">
        <f aca="false">COUNTIF($B21:$E21,K$3)</f>
        <v>0</v>
      </c>
      <c r="L21" s="24" t="n">
        <f aca="false">COUNTIF($B21:$E21,L$3)</f>
        <v>0</v>
      </c>
      <c r="M21" s="24" t="n">
        <f aca="false">COUNTIF($B21:$E21,M$3)</f>
        <v>0</v>
      </c>
      <c r="N21" s="24" t="n">
        <f aca="false">COUNTIF($B21:$E21,N$3)</f>
        <v>0</v>
      </c>
      <c r="O21" s="24" t="n">
        <f aca="false">COUNTIF($B21:$E21,O$3)</f>
        <v>0</v>
      </c>
      <c r="P21" s="24" t="n">
        <f aca="false">COUNTIF($B21:$E21,P$3)</f>
        <v>0</v>
      </c>
      <c r="Q21" s="24" t="n">
        <f aca="false">COUNTIF($B21:$E21,Q$3)</f>
        <v>0</v>
      </c>
      <c r="R21" s="24" t="n">
        <f aca="false">COUNTIF($B21:$E21,R$3)</f>
        <v>0</v>
      </c>
      <c r="S21" s="24" t="n">
        <f aca="false">COUNTIF($B21:$E21,S$3)</f>
        <v>0</v>
      </c>
      <c r="T21" s="24" t="n">
        <f aca="false">COUNTIF($B21:$E21,T$3)</f>
        <v>0</v>
      </c>
      <c r="U21" s="24" t="n">
        <f aca="false">COUNTIF($B21:$E21,U$3)</f>
        <v>0</v>
      </c>
      <c r="V21" s="24" t="n">
        <f aca="false">COUNTIF($B21:$E21,V$3)</f>
        <v>0</v>
      </c>
      <c r="W21" s="24" t="n">
        <f aca="false">COUNTIF($B21:$E21,W$3)</f>
        <v>0</v>
      </c>
      <c r="X21" s="24" t="n">
        <f aca="false">COUNTIF($B21:$E21,X$3)</f>
        <v>0</v>
      </c>
      <c r="Y21" s="24" t="n">
        <f aca="false">COUNTIF($B21:$E21,Y$3)</f>
        <v>0</v>
      </c>
      <c r="Z21" s="24" t="n">
        <f aca="false">COUNTIF($B21:$E21,Z$3)</f>
        <v>0</v>
      </c>
      <c r="AA21" s="24" t="n">
        <f aca="false">COUNTIF($B21:$E21,AA$3)</f>
        <v>0</v>
      </c>
      <c r="AB21" s="24" t="n">
        <f aca="false">COUNTIF($B21:$E21,AB$3)</f>
        <v>0</v>
      </c>
    </row>
    <row r="22" customFormat="false" ht="15" hidden="false" customHeight="false" outlineLevel="0" collapsed="false">
      <c r="A22" s="24" t="n">
        <f aca="false">Input!A22</f>
        <v>18</v>
      </c>
      <c r="B22" s="24" t="str">
        <f aca="false">IF(Input!B22="","",IF(B$3&gt;Input!$H$4,"",IFERROR(MATCH(Input!B22,Input!$H$10:$H$29,0),"ERR")))</f>
        <v/>
      </c>
      <c r="C22" s="24" t="str">
        <f aca="false">IF(Input!C22="","",IF(C$3&gt;Input!$H$4,"",IFERROR(MATCH(Input!C22,Input!$H$10:$H$29,0),"ERR")))</f>
        <v/>
      </c>
      <c r="D22" s="24" t="str">
        <f aca="false">IF(Input!D22="","",IF(D$3&gt;Input!$H$4,"",IFERROR(MATCH(Input!D22,Input!$H$10:$H$29,0),"ERR")))</f>
        <v/>
      </c>
      <c r="E22" s="24" t="str">
        <f aca="false">IF(Input!E22="","",IF(E$3&gt;Input!$H$4,"",IFERROR(MATCH(Input!E22,Input!$H$10:$H$29,0),"ERR")))</f>
        <v/>
      </c>
      <c r="F22" s="24" t="n">
        <f aca="false">COUNT(B22:E22)</f>
        <v>0</v>
      </c>
      <c r="G22" s="24" t="n">
        <f aca="false">COUNTIF(B22:E22,"ERR")</f>
        <v>0</v>
      </c>
      <c r="H22" s="25" t="n">
        <f aca="false">IF(F22&gt;=2,1/(F22-1),0)</f>
        <v>0</v>
      </c>
      <c r="I22" s="24" t="n">
        <f aca="false">COUNTIF($B22:$E22,I$3)</f>
        <v>0</v>
      </c>
      <c r="J22" s="24" t="n">
        <f aca="false">COUNTIF($B22:$E22,J$3)</f>
        <v>0</v>
      </c>
      <c r="K22" s="24" t="n">
        <f aca="false">COUNTIF($B22:$E22,K$3)</f>
        <v>0</v>
      </c>
      <c r="L22" s="24" t="n">
        <f aca="false">COUNTIF($B22:$E22,L$3)</f>
        <v>0</v>
      </c>
      <c r="M22" s="24" t="n">
        <f aca="false">COUNTIF($B22:$E22,M$3)</f>
        <v>0</v>
      </c>
      <c r="N22" s="24" t="n">
        <f aca="false">COUNTIF($B22:$E22,N$3)</f>
        <v>0</v>
      </c>
      <c r="O22" s="24" t="n">
        <f aca="false">COUNTIF($B22:$E22,O$3)</f>
        <v>0</v>
      </c>
      <c r="P22" s="24" t="n">
        <f aca="false">COUNTIF($B22:$E22,P$3)</f>
        <v>0</v>
      </c>
      <c r="Q22" s="24" t="n">
        <f aca="false">COUNTIF($B22:$E22,Q$3)</f>
        <v>0</v>
      </c>
      <c r="R22" s="24" t="n">
        <f aca="false">COUNTIF($B22:$E22,R$3)</f>
        <v>0</v>
      </c>
      <c r="S22" s="24" t="n">
        <f aca="false">COUNTIF($B22:$E22,S$3)</f>
        <v>0</v>
      </c>
      <c r="T22" s="24" t="n">
        <f aca="false">COUNTIF($B22:$E22,T$3)</f>
        <v>0</v>
      </c>
      <c r="U22" s="24" t="n">
        <f aca="false">COUNTIF($B22:$E22,U$3)</f>
        <v>0</v>
      </c>
      <c r="V22" s="24" t="n">
        <f aca="false">COUNTIF($B22:$E22,V$3)</f>
        <v>0</v>
      </c>
      <c r="W22" s="24" t="n">
        <f aca="false">COUNTIF($B22:$E22,W$3)</f>
        <v>0</v>
      </c>
      <c r="X22" s="24" t="n">
        <f aca="false">COUNTIF($B22:$E22,X$3)</f>
        <v>0</v>
      </c>
      <c r="Y22" s="24" t="n">
        <f aca="false">COUNTIF($B22:$E22,Y$3)</f>
        <v>0</v>
      </c>
      <c r="Z22" s="24" t="n">
        <f aca="false">COUNTIF($B22:$E22,Z$3)</f>
        <v>0</v>
      </c>
      <c r="AA22" s="24" t="n">
        <f aca="false">COUNTIF($B22:$E22,AA$3)</f>
        <v>0</v>
      </c>
      <c r="AB22" s="24" t="n">
        <f aca="false">COUNTIF($B22:$E22,AB$3)</f>
        <v>0</v>
      </c>
    </row>
    <row r="23" customFormat="false" ht="15" hidden="false" customHeight="false" outlineLevel="0" collapsed="false">
      <c r="A23" s="24" t="n">
        <f aca="false">Input!A23</f>
        <v>19</v>
      </c>
      <c r="B23" s="24" t="str">
        <f aca="false">IF(Input!B23="","",IF(B$3&gt;Input!$H$4,"",IFERROR(MATCH(Input!B23,Input!$H$10:$H$29,0),"ERR")))</f>
        <v/>
      </c>
      <c r="C23" s="24" t="str">
        <f aca="false">IF(Input!C23="","",IF(C$3&gt;Input!$H$4,"",IFERROR(MATCH(Input!C23,Input!$H$10:$H$29,0),"ERR")))</f>
        <v/>
      </c>
      <c r="D23" s="24" t="str">
        <f aca="false">IF(Input!D23="","",IF(D$3&gt;Input!$H$4,"",IFERROR(MATCH(Input!D23,Input!$H$10:$H$29,0),"ERR")))</f>
        <v/>
      </c>
      <c r="E23" s="24" t="str">
        <f aca="false">IF(Input!E23="","",IF(E$3&gt;Input!$H$4,"",IFERROR(MATCH(Input!E23,Input!$H$10:$H$29,0),"ERR")))</f>
        <v/>
      </c>
      <c r="F23" s="24" t="n">
        <f aca="false">COUNT(B23:E23)</f>
        <v>0</v>
      </c>
      <c r="G23" s="24" t="n">
        <f aca="false">COUNTIF(B23:E23,"ERR")</f>
        <v>0</v>
      </c>
      <c r="H23" s="25" t="n">
        <f aca="false">IF(F23&gt;=2,1/(F23-1),0)</f>
        <v>0</v>
      </c>
      <c r="I23" s="24" t="n">
        <f aca="false">COUNTIF($B23:$E23,I$3)</f>
        <v>0</v>
      </c>
      <c r="J23" s="24" t="n">
        <f aca="false">COUNTIF($B23:$E23,J$3)</f>
        <v>0</v>
      </c>
      <c r="K23" s="24" t="n">
        <f aca="false">COUNTIF($B23:$E23,K$3)</f>
        <v>0</v>
      </c>
      <c r="L23" s="24" t="n">
        <f aca="false">COUNTIF($B23:$E23,L$3)</f>
        <v>0</v>
      </c>
      <c r="M23" s="24" t="n">
        <f aca="false">COUNTIF($B23:$E23,M$3)</f>
        <v>0</v>
      </c>
      <c r="N23" s="24" t="n">
        <f aca="false">COUNTIF($B23:$E23,N$3)</f>
        <v>0</v>
      </c>
      <c r="O23" s="24" t="n">
        <f aca="false">COUNTIF($B23:$E23,O$3)</f>
        <v>0</v>
      </c>
      <c r="P23" s="24" t="n">
        <f aca="false">COUNTIF($B23:$E23,P$3)</f>
        <v>0</v>
      </c>
      <c r="Q23" s="24" t="n">
        <f aca="false">COUNTIF($B23:$E23,Q$3)</f>
        <v>0</v>
      </c>
      <c r="R23" s="24" t="n">
        <f aca="false">COUNTIF($B23:$E23,R$3)</f>
        <v>0</v>
      </c>
      <c r="S23" s="24" t="n">
        <f aca="false">COUNTIF($B23:$E23,S$3)</f>
        <v>0</v>
      </c>
      <c r="T23" s="24" t="n">
        <f aca="false">COUNTIF($B23:$E23,T$3)</f>
        <v>0</v>
      </c>
      <c r="U23" s="24" t="n">
        <f aca="false">COUNTIF($B23:$E23,U$3)</f>
        <v>0</v>
      </c>
      <c r="V23" s="24" t="n">
        <f aca="false">COUNTIF($B23:$E23,V$3)</f>
        <v>0</v>
      </c>
      <c r="W23" s="24" t="n">
        <f aca="false">COUNTIF($B23:$E23,W$3)</f>
        <v>0</v>
      </c>
      <c r="X23" s="24" t="n">
        <f aca="false">COUNTIF($B23:$E23,X$3)</f>
        <v>0</v>
      </c>
      <c r="Y23" s="24" t="n">
        <f aca="false">COUNTIF($B23:$E23,Y$3)</f>
        <v>0</v>
      </c>
      <c r="Z23" s="24" t="n">
        <f aca="false">COUNTIF($B23:$E23,Z$3)</f>
        <v>0</v>
      </c>
      <c r="AA23" s="24" t="n">
        <f aca="false">COUNTIF($B23:$E23,AA$3)</f>
        <v>0</v>
      </c>
      <c r="AB23" s="24" t="n">
        <f aca="false">COUNTIF($B23:$E23,AB$3)</f>
        <v>0</v>
      </c>
    </row>
    <row r="24" customFormat="false" ht="15" hidden="false" customHeight="false" outlineLevel="0" collapsed="false">
      <c r="A24" s="24" t="n">
        <f aca="false">Input!A24</f>
        <v>20</v>
      </c>
      <c r="B24" s="24" t="str">
        <f aca="false">IF(Input!B24="","",IF(B$3&gt;Input!$H$4,"",IFERROR(MATCH(Input!B24,Input!$H$10:$H$29,0),"ERR")))</f>
        <v/>
      </c>
      <c r="C24" s="24" t="str">
        <f aca="false">IF(Input!C24="","",IF(C$3&gt;Input!$H$4,"",IFERROR(MATCH(Input!C24,Input!$H$10:$H$29,0),"ERR")))</f>
        <v/>
      </c>
      <c r="D24" s="24" t="str">
        <f aca="false">IF(Input!D24="","",IF(D$3&gt;Input!$H$4,"",IFERROR(MATCH(Input!D24,Input!$H$10:$H$29,0),"ERR")))</f>
        <v/>
      </c>
      <c r="E24" s="24" t="str">
        <f aca="false">IF(Input!E24="","",IF(E$3&gt;Input!$H$4,"",IFERROR(MATCH(Input!E24,Input!$H$10:$H$29,0),"ERR")))</f>
        <v/>
      </c>
      <c r="F24" s="24" t="n">
        <f aca="false">COUNT(B24:E24)</f>
        <v>0</v>
      </c>
      <c r="G24" s="24" t="n">
        <f aca="false">COUNTIF(B24:E24,"ERR")</f>
        <v>0</v>
      </c>
      <c r="H24" s="25" t="n">
        <f aca="false">IF(F24&gt;=2,1/(F24-1),0)</f>
        <v>0</v>
      </c>
      <c r="I24" s="24" t="n">
        <f aca="false">COUNTIF($B24:$E24,I$3)</f>
        <v>0</v>
      </c>
      <c r="J24" s="24" t="n">
        <f aca="false">COUNTIF($B24:$E24,J$3)</f>
        <v>0</v>
      </c>
      <c r="K24" s="24" t="n">
        <f aca="false">COUNTIF($B24:$E24,K$3)</f>
        <v>0</v>
      </c>
      <c r="L24" s="24" t="n">
        <f aca="false">COUNTIF($B24:$E24,L$3)</f>
        <v>0</v>
      </c>
      <c r="M24" s="24" t="n">
        <f aca="false">COUNTIF($B24:$E24,M$3)</f>
        <v>0</v>
      </c>
      <c r="N24" s="24" t="n">
        <f aca="false">COUNTIF($B24:$E24,N$3)</f>
        <v>0</v>
      </c>
      <c r="O24" s="24" t="n">
        <f aca="false">COUNTIF($B24:$E24,O$3)</f>
        <v>0</v>
      </c>
      <c r="P24" s="24" t="n">
        <f aca="false">COUNTIF($B24:$E24,P$3)</f>
        <v>0</v>
      </c>
      <c r="Q24" s="24" t="n">
        <f aca="false">COUNTIF($B24:$E24,Q$3)</f>
        <v>0</v>
      </c>
      <c r="R24" s="24" t="n">
        <f aca="false">COUNTIF($B24:$E24,R$3)</f>
        <v>0</v>
      </c>
      <c r="S24" s="24" t="n">
        <f aca="false">COUNTIF($B24:$E24,S$3)</f>
        <v>0</v>
      </c>
      <c r="T24" s="24" t="n">
        <f aca="false">COUNTIF($B24:$E24,T$3)</f>
        <v>0</v>
      </c>
      <c r="U24" s="24" t="n">
        <f aca="false">COUNTIF($B24:$E24,U$3)</f>
        <v>0</v>
      </c>
      <c r="V24" s="24" t="n">
        <f aca="false">COUNTIF($B24:$E24,V$3)</f>
        <v>0</v>
      </c>
      <c r="W24" s="24" t="n">
        <f aca="false">COUNTIF($B24:$E24,W$3)</f>
        <v>0</v>
      </c>
      <c r="X24" s="24" t="n">
        <f aca="false">COUNTIF($B24:$E24,X$3)</f>
        <v>0</v>
      </c>
      <c r="Y24" s="24" t="n">
        <f aca="false">COUNTIF($B24:$E24,Y$3)</f>
        <v>0</v>
      </c>
      <c r="Z24" s="24" t="n">
        <f aca="false">COUNTIF($B24:$E24,Z$3)</f>
        <v>0</v>
      </c>
      <c r="AA24" s="24" t="n">
        <f aca="false">COUNTIF($B24:$E24,AA$3)</f>
        <v>0</v>
      </c>
      <c r="AB24" s="24" t="n">
        <f aca="false">COUNTIF($B24:$E24,AB$3)</f>
        <v>0</v>
      </c>
    </row>
    <row r="25" customFormat="false" ht="15" hidden="false" customHeight="false" outlineLevel="0" collapsed="false">
      <c r="A25" s="24" t="n">
        <f aca="false">Input!A25</f>
        <v>21</v>
      </c>
      <c r="B25" s="24" t="str">
        <f aca="false">IF(Input!B25="","",IF(B$3&gt;Input!$H$4,"",IFERROR(MATCH(Input!B25,Input!$H$10:$H$29,0),"ERR")))</f>
        <v/>
      </c>
      <c r="C25" s="24" t="str">
        <f aca="false">IF(Input!C25="","",IF(C$3&gt;Input!$H$4,"",IFERROR(MATCH(Input!C25,Input!$H$10:$H$29,0),"ERR")))</f>
        <v/>
      </c>
      <c r="D25" s="24" t="str">
        <f aca="false">IF(Input!D25="","",IF(D$3&gt;Input!$H$4,"",IFERROR(MATCH(Input!D25,Input!$H$10:$H$29,0),"ERR")))</f>
        <v/>
      </c>
      <c r="E25" s="24" t="str">
        <f aca="false">IF(Input!E25="","",IF(E$3&gt;Input!$H$4,"",IFERROR(MATCH(Input!E25,Input!$H$10:$H$29,0),"ERR")))</f>
        <v/>
      </c>
      <c r="F25" s="24" t="n">
        <f aca="false">COUNT(B25:E25)</f>
        <v>0</v>
      </c>
      <c r="G25" s="24" t="n">
        <f aca="false">COUNTIF(B25:E25,"ERR")</f>
        <v>0</v>
      </c>
      <c r="H25" s="25" t="n">
        <f aca="false">IF(F25&gt;=2,1/(F25-1),0)</f>
        <v>0</v>
      </c>
      <c r="I25" s="24" t="n">
        <f aca="false">COUNTIF($B25:$E25,I$3)</f>
        <v>0</v>
      </c>
      <c r="J25" s="24" t="n">
        <f aca="false">COUNTIF($B25:$E25,J$3)</f>
        <v>0</v>
      </c>
      <c r="K25" s="24" t="n">
        <f aca="false">COUNTIF($B25:$E25,K$3)</f>
        <v>0</v>
      </c>
      <c r="L25" s="24" t="n">
        <f aca="false">COUNTIF($B25:$E25,L$3)</f>
        <v>0</v>
      </c>
      <c r="M25" s="24" t="n">
        <f aca="false">COUNTIF($B25:$E25,M$3)</f>
        <v>0</v>
      </c>
      <c r="N25" s="24" t="n">
        <f aca="false">COUNTIF($B25:$E25,N$3)</f>
        <v>0</v>
      </c>
      <c r="O25" s="24" t="n">
        <f aca="false">COUNTIF($B25:$E25,O$3)</f>
        <v>0</v>
      </c>
      <c r="P25" s="24" t="n">
        <f aca="false">COUNTIF($B25:$E25,P$3)</f>
        <v>0</v>
      </c>
      <c r="Q25" s="24" t="n">
        <f aca="false">COUNTIF($B25:$E25,Q$3)</f>
        <v>0</v>
      </c>
      <c r="R25" s="24" t="n">
        <f aca="false">COUNTIF($B25:$E25,R$3)</f>
        <v>0</v>
      </c>
      <c r="S25" s="24" t="n">
        <f aca="false">COUNTIF($B25:$E25,S$3)</f>
        <v>0</v>
      </c>
      <c r="T25" s="24" t="n">
        <f aca="false">COUNTIF($B25:$E25,T$3)</f>
        <v>0</v>
      </c>
      <c r="U25" s="24" t="n">
        <f aca="false">COUNTIF($B25:$E25,U$3)</f>
        <v>0</v>
      </c>
      <c r="V25" s="24" t="n">
        <f aca="false">COUNTIF($B25:$E25,V$3)</f>
        <v>0</v>
      </c>
      <c r="W25" s="24" t="n">
        <f aca="false">COUNTIF($B25:$E25,W$3)</f>
        <v>0</v>
      </c>
      <c r="X25" s="24" t="n">
        <f aca="false">COUNTIF($B25:$E25,X$3)</f>
        <v>0</v>
      </c>
      <c r="Y25" s="24" t="n">
        <f aca="false">COUNTIF($B25:$E25,Y$3)</f>
        <v>0</v>
      </c>
      <c r="Z25" s="24" t="n">
        <f aca="false">COUNTIF($B25:$E25,Z$3)</f>
        <v>0</v>
      </c>
      <c r="AA25" s="24" t="n">
        <f aca="false">COUNTIF($B25:$E25,AA$3)</f>
        <v>0</v>
      </c>
      <c r="AB25" s="24" t="n">
        <f aca="false">COUNTIF($B25:$E25,AB$3)</f>
        <v>0</v>
      </c>
    </row>
    <row r="26" customFormat="false" ht="15" hidden="false" customHeight="false" outlineLevel="0" collapsed="false">
      <c r="A26" s="24" t="n">
        <f aca="false">Input!A26</f>
        <v>22</v>
      </c>
      <c r="B26" s="24" t="str">
        <f aca="false">IF(Input!B26="","",IF(B$3&gt;Input!$H$4,"",IFERROR(MATCH(Input!B26,Input!$H$10:$H$29,0),"ERR")))</f>
        <v/>
      </c>
      <c r="C26" s="24" t="str">
        <f aca="false">IF(Input!C26="","",IF(C$3&gt;Input!$H$4,"",IFERROR(MATCH(Input!C26,Input!$H$10:$H$29,0),"ERR")))</f>
        <v/>
      </c>
      <c r="D26" s="24" t="str">
        <f aca="false">IF(Input!D26="","",IF(D$3&gt;Input!$H$4,"",IFERROR(MATCH(Input!D26,Input!$H$10:$H$29,0),"ERR")))</f>
        <v/>
      </c>
      <c r="E26" s="24" t="str">
        <f aca="false">IF(Input!E26="","",IF(E$3&gt;Input!$H$4,"",IFERROR(MATCH(Input!E26,Input!$H$10:$H$29,0),"ERR")))</f>
        <v/>
      </c>
      <c r="F26" s="24" t="n">
        <f aca="false">COUNT(B26:E26)</f>
        <v>0</v>
      </c>
      <c r="G26" s="24" t="n">
        <f aca="false">COUNTIF(B26:E26,"ERR")</f>
        <v>0</v>
      </c>
      <c r="H26" s="25" t="n">
        <f aca="false">IF(F26&gt;=2,1/(F26-1),0)</f>
        <v>0</v>
      </c>
      <c r="I26" s="24" t="n">
        <f aca="false">COUNTIF($B26:$E26,I$3)</f>
        <v>0</v>
      </c>
      <c r="J26" s="24" t="n">
        <f aca="false">COUNTIF($B26:$E26,J$3)</f>
        <v>0</v>
      </c>
      <c r="K26" s="24" t="n">
        <f aca="false">COUNTIF($B26:$E26,K$3)</f>
        <v>0</v>
      </c>
      <c r="L26" s="24" t="n">
        <f aca="false">COUNTIF($B26:$E26,L$3)</f>
        <v>0</v>
      </c>
      <c r="M26" s="24" t="n">
        <f aca="false">COUNTIF($B26:$E26,M$3)</f>
        <v>0</v>
      </c>
      <c r="N26" s="24" t="n">
        <f aca="false">COUNTIF($B26:$E26,N$3)</f>
        <v>0</v>
      </c>
      <c r="O26" s="24" t="n">
        <f aca="false">COUNTIF($B26:$E26,O$3)</f>
        <v>0</v>
      </c>
      <c r="P26" s="24" t="n">
        <f aca="false">COUNTIF($B26:$E26,P$3)</f>
        <v>0</v>
      </c>
      <c r="Q26" s="24" t="n">
        <f aca="false">COUNTIF($B26:$E26,Q$3)</f>
        <v>0</v>
      </c>
      <c r="R26" s="24" t="n">
        <f aca="false">COUNTIF($B26:$E26,R$3)</f>
        <v>0</v>
      </c>
      <c r="S26" s="24" t="n">
        <f aca="false">COUNTIF($B26:$E26,S$3)</f>
        <v>0</v>
      </c>
      <c r="T26" s="24" t="n">
        <f aca="false">COUNTIF($B26:$E26,T$3)</f>
        <v>0</v>
      </c>
      <c r="U26" s="24" t="n">
        <f aca="false">COUNTIF($B26:$E26,U$3)</f>
        <v>0</v>
      </c>
      <c r="V26" s="24" t="n">
        <f aca="false">COUNTIF($B26:$E26,V$3)</f>
        <v>0</v>
      </c>
      <c r="W26" s="24" t="n">
        <f aca="false">COUNTIF($B26:$E26,W$3)</f>
        <v>0</v>
      </c>
      <c r="X26" s="24" t="n">
        <f aca="false">COUNTIF($B26:$E26,X$3)</f>
        <v>0</v>
      </c>
      <c r="Y26" s="24" t="n">
        <f aca="false">COUNTIF($B26:$E26,Y$3)</f>
        <v>0</v>
      </c>
      <c r="Z26" s="24" t="n">
        <f aca="false">COUNTIF($B26:$E26,Z$3)</f>
        <v>0</v>
      </c>
      <c r="AA26" s="24" t="n">
        <f aca="false">COUNTIF($B26:$E26,AA$3)</f>
        <v>0</v>
      </c>
      <c r="AB26" s="24" t="n">
        <f aca="false">COUNTIF($B26:$E26,AB$3)</f>
        <v>0</v>
      </c>
    </row>
    <row r="27" customFormat="false" ht="15" hidden="false" customHeight="false" outlineLevel="0" collapsed="false">
      <c r="A27" s="24" t="n">
        <f aca="false">Input!A27</f>
        <v>23</v>
      </c>
      <c r="B27" s="24" t="str">
        <f aca="false">IF(Input!B27="","",IF(B$3&gt;Input!$H$4,"",IFERROR(MATCH(Input!B27,Input!$H$10:$H$29,0),"ERR")))</f>
        <v/>
      </c>
      <c r="C27" s="24" t="str">
        <f aca="false">IF(Input!C27="","",IF(C$3&gt;Input!$H$4,"",IFERROR(MATCH(Input!C27,Input!$H$10:$H$29,0),"ERR")))</f>
        <v/>
      </c>
      <c r="D27" s="24" t="str">
        <f aca="false">IF(Input!D27="","",IF(D$3&gt;Input!$H$4,"",IFERROR(MATCH(Input!D27,Input!$H$10:$H$29,0),"ERR")))</f>
        <v/>
      </c>
      <c r="E27" s="24" t="str">
        <f aca="false">IF(Input!E27="","",IF(E$3&gt;Input!$H$4,"",IFERROR(MATCH(Input!E27,Input!$H$10:$H$29,0),"ERR")))</f>
        <v/>
      </c>
      <c r="F27" s="24" t="n">
        <f aca="false">COUNT(B27:E27)</f>
        <v>0</v>
      </c>
      <c r="G27" s="24" t="n">
        <f aca="false">COUNTIF(B27:E27,"ERR")</f>
        <v>0</v>
      </c>
      <c r="H27" s="25" t="n">
        <f aca="false">IF(F27&gt;=2,1/(F27-1),0)</f>
        <v>0</v>
      </c>
      <c r="I27" s="24" t="n">
        <f aca="false">COUNTIF($B27:$E27,I$3)</f>
        <v>0</v>
      </c>
      <c r="J27" s="24" t="n">
        <f aca="false">COUNTIF($B27:$E27,J$3)</f>
        <v>0</v>
      </c>
      <c r="K27" s="24" t="n">
        <f aca="false">COUNTIF($B27:$E27,K$3)</f>
        <v>0</v>
      </c>
      <c r="L27" s="24" t="n">
        <f aca="false">COUNTIF($B27:$E27,L$3)</f>
        <v>0</v>
      </c>
      <c r="M27" s="24" t="n">
        <f aca="false">COUNTIF($B27:$E27,M$3)</f>
        <v>0</v>
      </c>
      <c r="N27" s="24" t="n">
        <f aca="false">COUNTIF($B27:$E27,N$3)</f>
        <v>0</v>
      </c>
      <c r="O27" s="24" t="n">
        <f aca="false">COUNTIF($B27:$E27,O$3)</f>
        <v>0</v>
      </c>
      <c r="P27" s="24" t="n">
        <f aca="false">COUNTIF($B27:$E27,P$3)</f>
        <v>0</v>
      </c>
      <c r="Q27" s="24" t="n">
        <f aca="false">COUNTIF($B27:$E27,Q$3)</f>
        <v>0</v>
      </c>
      <c r="R27" s="24" t="n">
        <f aca="false">COUNTIF($B27:$E27,R$3)</f>
        <v>0</v>
      </c>
      <c r="S27" s="24" t="n">
        <f aca="false">COUNTIF($B27:$E27,S$3)</f>
        <v>0</v>
      </c>
      <c r="T27" s="24" t="n">
        <f aca="false">COUNTIF($B27:$E27,T$3)</f>
        <v>0</v>
      </c>
      <c r="U27" s="24" t="n">
        <f aca="false">COUNTIF($B27:$E27,U$3)</f>
        <v>0</v>
      </c>
      <c r="V27" s="24" t="n">
        <f aca="false">COUNTIF($B27:$E27,V$3)</f>
        <v>0</v>
      </c>
      <c r="W27" s="24" t="n">
        <f aca="false">COUNTIF($B27:$E27,W$3)</f>
        <v>0</v>
      </c>
      <c r="X27" s="24" t="n">
        <f aca="false">COUNTIF($B27:$E27,X$3)</f>
        <v>0</v>
      </c>
      <c r="Y27" s="24" t="n">
        <f aca="false">COUNTIF($B27:$E27,Y$3)</f>
        <v>0</v>
      </c>
      <c r="Z27" s="24" t="n">
        <f aca="false">COUNTIF($B27:$E27,Z$3)</f>
        <v>0</v>
      </c>
      <c r="AA27" s="24" t="n">
        <f aca="false">COUNTIF($B27:$E27,AA$3)</f>
        <v>0</v>
      </c>
      <c r="AB27" s="24" t="n">
        <f aca="false">COUNTIF($B27:$E27,AB$3)</f>
        <v>0</v>
      </c>
    </row>
    <row r="28" customFormat="false" ht="15" hidden="false" customHeight="false" outlineLevel="0" collapsed="false">
      <c r="A28" s="24" t="n">
        <f aca="false">Input!A28</f>
        <v>24</v>
      </c>
      <c r="B28" s="24" t="str">
        <f aca="false">IF(Input!B28="","",IF(B$3&gt;Input!$H$4,"",IFERROR(MATCH(Input!B28,Input!$H$10:$H$29,0),"ERR")))</f>
        <v/>
      </c>
      <c r="C28" s="24" t="str">
        <f aca="false">IF(Input!C28="","",IF(C$3&gt;Input!$H$4,"",IFERROR(MATCH(Input!C28,Input!$H$10:$H$29,0),"ERR")))</f>
        <v/>
      </c>
      <c r="D28" s="24" t="str">
        <f aca="false">IF(Input!D28="","",IF(D$3&gt;Input!$H$4,"",IFERROR(MATCH(Input!D28,Input!$H$10:$H$29,0),"ERR")))</f>
        <v/>
      </c>
      <c r="E28" s="24" t="str">
        <f aca="false">IF(Input!E28="","",IF(E$3&gt;Input!$H$4,"",IFERROR(MATCH(Input!E28,Input!$H$10:$H$29,0),"ERR")))</f>
        <v/>
      </c>
      <c r="F28" s="24" t="n">
        <f aca="false">COUNT(B28:E28)</f>
        <v>0</v>
      </c>
      <c r="G28" s="24" t="n">
        <f aca="false">COUNTIF(B28:E28,"ERR")</f>
        <v>0</v>
      </c>
      <c r="H28" s="25" t="n">
        <f aca="false">IF(F28&gt;=2,1/(F28-1),0)</f>
        <v>0</v>
      </c>
      <c r="I28" s="24" t="n">
        <f aca="false">COUNTIF($B28:$E28,I$3)</f>
        <v>0</v>
      </c>
      <c r="J28" s="24" t="n">
        <f aca="false">COUNTIF($B28:$E28,J$3)</f>
        <v>0</v>
      </c>
      <c r="K28" s="24" t="n">
        <f aca="false">COUNTIF($B28:$E28,K$3)</f>
        <v>0</v>
      </c>
      <c r="L28" s="24" t="n">
        <f aca="false">COUNTIF($B28:$E28,L$3)</f>
        <v>0</v>
      </c>
      <c r="M28" s="24" t="n">
        <f aca="false">COUNTIF($B28:$E28,M$3)</f>
        <v>0</v>
      </c>
      <c r="N28" s="24" t="n">
        <f aca="false">COUNTIF($B28:$E28,N$3)</f>
        <v>0</v>
      </c>
      <c r="O28" s="24" t="n">
        <f aca="false">COUNTIF($B28:$E28,O$3)</f>
        <v>0</v>
      </c>
      <c r="P28" s="24" t="n">
        <f aca="false">COUNTIF($B28:$E28,P$3)</f>
        <v>0</v>
      </c>
      <c r="Q28" s="24" t="n">
        <f aca="false">COUNTIF($B28:$E28,Q$3)</f>
        <v>0</v>
      </c>
      <c r="R28" s="24" t="n">
        <f aca="false">COUNTIF($B28:$E28,R$3)</f>
        <v>0</v>
      </c>
      <c r="S28" s="24" t="n">
        <f aca="false">COUNTIF($B28:$E28,S$3)</f>
        <v>0</v>
      </c>
      <c r="T28" s="24" t="n">
        <f aca="false">COUNTIF($B28:$E28,T$3)</f>
        <v>0</v>
      </c>
      <c r="U28" s="24" t="n">
        <f aca="false">COUNTIF($B28:$E28,U$3)</f>
        <v>0</v>
      </c>
      <c r="V28" s="24" t="n">
        <f aca="false">COUNTIF($B28:$E28,V$3)</f>
        <v>0</v>
      </c>
      <c r="W28" s="24" t="n">
        <f aca="false">COUNTIF($B28:$E28,W$3)</f>
        <v>0</v>
      </c>
      <c r="X28" s="24" t="n">
        <f aca="false">COUNTIF($B28:$E28,X$3)</f>
        <v>0</v>
      </c>
      <c r="Y28" s="24" t="n">
        <f aca="false">COUNTIF($B28:$E28,Y$3)</f>
        <v>0</v>
      </c>
      <c r="Z28" s="24" t="n">
        <f aca="false">COUNTIF($B28:$E28,Z$3)</f>
        <v>0</v>
      </c>
      <c r="AA28" s="24" t="n">
        <f aca="false">COUNTIF($B28:$E28,AA$3)</f>
        <v>0</v>
      </c>
      <c r="AB28" s="24" t="n">
        <f aca="false">COUNTIF($B28:$E28,AB$3)</f>
        <v>0</v>
      </c>
    </row>
    <row r="29" customFormat="false" ht="15" hidden="false" customHeight="false" outlineLevel="0" collapsed="false">
      <c r="A29" s="24" t="n">
        <f aca="false">Input!A29</f>
        <v>25</v>
      </c>
      <c r="B29" s="24" t="str">
        <f aca="false">IF(Input!B29="","",IF(B$3&gt;Input!$H$4,"",IFERROR(MATCH(Input!B29,Input!$H$10:$H$29,0),"ERR")))</f>
        <v/>
      </c>
      <c r="C29" s="24" t="str">
        <f aca="false">IF(Input!C29="","",IF(C$3&gt;Input!$H$4,"",IFERROR(MATCH(Input!C29,Input!$H$10:$H$29,0),"ERR")))</f>
        <v/>
      </c>
      <c r="D29" s="24" t="str">
        <f aca="false">IF(Input!D29="","",IF(D$3&gt;Input!$H$4,"",IFERROR(MATCH(Input!D29,Input!$H$10:$H$29,0),"ERR")))</f>
        <v/>
      </c>
      <c r="E29" s="24" t="str">
        <f aca="false">IF(Input!E29="","",IF(E$3&gt;Input!$H$4,"",IFERROR(MATCH(Input!E29,Input!$H$10:$H$29,0),"ERR")))</f>
        <v/>
      </c>
      <c r="F29" s="24" t="n">
        <f aca="false">COUNT(B29:E29)</f>
        <v>0</v>
      </c>
      <c r="G29" s="24" t="n">
        <f aca="false">COUNTIF(B29:E29,"ERR")</f>
        <v>0</v>
      </c>
      <c r="H29" s="25" t="n">
        <f aca="false">IF(F29&gt;=2,1/(F29-1),0)</f>
        <v>0</v>
      </c>
      <c r="I29" s="24" t="n">
        <f aca="false">COUNTIF($B29:$E29,I$3)</f>
        <v>0</v>
      </c>
      <c r="J29" s="24" t="n">
        <f aca="false">COUNTIF($B29:$E29,J$3)</f>
        <v>0</v>
      </c>
      <c r="K29" s="24" t="n">
        <f aca="false">COUNTIF($B29:$E29,K$3)</f>
        <v>0</v>
      </c>
      <c r="L29" s="24" t="n">
        <f aca="false">COUNTIF($B29:$E29,L$3)</f>
        <v>0</v>
      </c>
      <c r="M29" s="24" t="n">
        <f aca="false">COUNTIF($B29:$E29,M$3)</f>
        <v>0</v>
      </c>
      <c r="N29" s="24" t="n">
        <f aca="false">COUNTIF($B29:$E29,N$3)</f>
        <v>0</v>
      </c>
      <c r="O29" s="24" t="n">
        <f aca="false">COUNTIF($B29:$E29,O$3)</f>
        <v>0</v>
      </c>
      <c r="P29" s="24" t="n">
        <f aca="false">COUNTIF($B29:$E29,P$3)</f>
        <v>0</v>
      </c>
      <c r="Q29" s="24" t="n">
        <f aca="false">COUNTIF($B29:$E29,Q$3)</f>
        <v>0</v>
      </c>
      <c r="R29" s="24" t="n">
        <f aca="false">COUNTIF($B29:$E29,R$3)</f>
        <v>0</v>
      </c>
      <c r="S29" s="24" t="n">
        <f aca="false">COUNTIF($B29:$E29,S$3)</f>
        <v>0</v>
      </c>
      <c r="T29" s="24" t="n">
        <f aca="false">COUNTIF($B29:$E29,T$3)</f>
        <v>0</v>
      </c>
      <c r="U29" s="24" t="n">
        <f aca="false">COUNTIF($B29:$E29,U$3)</f>
        <v>0</v>
      </c>
      <c r="V29" s="24" t="n">
        <f aca="false">COUNTIF($B29:$E29,V$3)</f>
        <v>0</v>
      </c>
      <c r="W29" s="24" t="n">
        <f aca="false">COUNTIF($B29:$E29,W$3)</f>
        <v>0</v>
      </c>
      <c r="X29" s="24" t="n">
        <f aca="false">COUNTIF($B29:$E29,X$3)</f>
        <v>0</v>
      </c>
      <c r="Y29" s="24" t="n">
        <f aca="false">COUNTIF($B29:$E29,Y$3)</f>
        <v>0</v>
      </c>
      <c r="Z29" s="24" t="n">
        <f aca="false">COUNTIF($B29:$E29,Z$3)</f>
        <v>0</v>
      </c>
      <c r="AA29" s="24" t="n">
        <f aca="false">COUNTIF($B29:$E29,AA$3)</f>
        <v>0</v>
      </c>
      <c r="AB29" s="24" t="n">
        <f aca="false">COUNTIF($B29:$E29,AB$3)</f>
        <v>0</v>
      </c>
    </row>
    <row r="30" customFormat="false" ht="15" hidden="false" customHeight="false" outlineLevel="0" collapsed="false">
      <c r="A30" s="24" t="n">
        <f aca="false">Input!A30</f>
        <v>26</v>
      </c>
      <c r="B30" s="24" t="str">
        <f aca="false">IF(Input!B30="","",IF(B$3&gt;Input!$H$4,"",IFERROR(MATCH(Input!B30,Input!$H$10:$H$29,0),"ERR")))</f>
        <v/>
      </c>
      <c r="C30" s="24" t="str">
        <f aca="false">IF(Input!C30="","",IF(C$3&gt;Input!$H$4,"",IFERROR(MATCH(Input!C30,Input!$H$10:$H$29,0),"ERR")))</f>
        <v/>
      </c>
      <c r="D30" s="24" t="str">
        <f aca="false">IF(Input!D30="","",IF(D$3&gt;Input!$H$4,"",IFERROR(MATCH(Input!D30,Input!$H$10:$H$29,0),"ERR")))</f>
        <v/>
      </c>
      <c r="E30" s="24" t="str">
        <f aca="false">IF(Input!E30="","",IF(E$3&gt;Input!$H$4,"",IFERROR(MATCH(Input!E30,Input!$H$10:$H$29,0),"ERR")))</f>
        <v/>
      </c>
      <c r="F30" s="24" t="n">
        <f aca="false">COUNT(B30:E30)</f>
        <v>0</v>
      </c>
      <c r="G30" s="24" t="n">
        <f aca="false">COUNTIF(B30:E30,"ERR")</f>
        <v>0</v>
      </c>
      <c r="H30" s="25" t="n">
        <f aca="false">IF(F30&gt;=2,1/(F30-1),0)</f>
        <v>0</v>
      </c>
      <c r="I30" s="24" t="n">
        <f aca="false">COUNTIF($B30:$E30,I$3)</f>
        <v>0</v>
      </c>
      <c r="J30" s="24" t="n">
        <f aca="false">COUNTIF($B30:$E30,J$3)</f>
        <v>0</v>
      </c>
      <c r="K30" s="24" t="n">
        <f aca="false">COUNTIF($B30:$E30,K$3)</f>
        <v>0</v>
      </c>
      <c r="L30" s="24" t="n">
        <f aca="false">COUNTIF($B30:$E30,L$3)</f>
        <v>0</v>
      </c>
      <c r="M30" s="24" t="n">
        <f aca="false">COUNTIF($B30:$E30,M$3)</f>
        <v>0</v>
      </c>
      <c r="N30" s="24" t="n">
        <f aca="false">COUNTIF($B30:$E30,N$3)</f>
        <v>0</v>
      </c>
      <c r="O30" s="24" t="n">
        <f aca="false">COUNTIF($B30:$E30,O$3)</f>
        <v>0</v>
      </c>
      <c r="P30" s="24" t="n">
        <f aca="false">COUNTIF($B30:$E30,P$3)</f>
        <v>0</v>
      </c>
      <c r="Q30" s="24" t="n">
        <f aca="false">COUNTIF($B30:$E30,Q$3)</f>
        <v>0</v>
      </c>
      <c r="R30" s="24" t="n">
        <f aca="false">COUNTIF($B30:$E30,R$3)</f>
        <v>0</v>
      </c>
      <c r="S30" s="24" t="n">
        <f aca="false">COUNTIF($B30:$E30,S$3)</f>
        <v>0</v>
      </c>
      <c r="T30" s="24" t="n">
        <f aca="false">COUNTIF($B30:$E30,T$3)</f>
        <v>0</v>
      </c>
      <c r="U30" s="24" t="n">
        <f aca="false">COUNTIF($B30:$E30,U$3)</f>
        <v>0</v>
      </c>
      <c r="V30" s="24" t="n">
        <f aca="false">COUNTIF($B30:$E30,V$3)</f>
        <v>0</v>
      </c>
      <c r="W30" s="24" t="n">
        <f aca="false">COUNTIF($B30:$E30,W$3)</f>
        <v>0</v>
      </c>
      <c r="X30" s="24" t="n">
        <f aca="false">COUNTIF($B30:$E30,X$3)</f>
        <v>0</v>
      </c>
      <c r="Y30" s="24" t="n">
        <f aca="false">COUNTIF($B30:$E30,Y$3)</f>
        <v>0</v>
      </c>
      <c r="Z30" s="24" t="n">
        <f aca="false">COUNTIF($B30:$E30,Z$3)</f>
        <v>0</v>
      </c>
      <c r="AA30" s="24" t="n">
        <f aca="false">COUNTIF($B30:$E30,AA$3)</f>
        <v>0</v>
      </c>
      <c r="AB30" s="24" t="n">
        <f aca="false">COUNTIF($B30:$E30,AB$3)</f>
        <v>0</v>
      </c>
    </row>
    <row r="31" customFormat="false" ht="15" hidden="false" customHeight="false" outlineLevel="0" collapsed="false">
      <c r="A31" s="24" t="n">
        <f aca="false">Input!A31</f>
        <v>27</v>
      </c>
      <c r="B31" s="24" t="str">
        <f aca="false">IF(Input!B31="","",IF(B$3&gt;Input!$H$4,"",IFERROR(MATCH(Input!B31,Input!$H$10:$H$29,0),"ERR")))</f>
        <v/>
      </c>
      <c r="C31" s="24" t="str">
        <f aca="false">IF(Input!C31="","",IF(C$3&gt;Input!$H$4,"",IFERROR(MATCH(Input!C31,Input!$H$10:$H$29,0),"ERR")))</f>
        <v/>
      </c>
      <c r="D31" s="24" t="str">
        <f aca="false">IF(Input!D31="","",IF(D$3&gt;Input!$H$4,"",IFERROR(MATCH(Input!D31,Input!$H$10:$H$29,0),"ERR")))</f>
        <v/>
      </c>
      <c r="E31" s="24" t="str">
        <f aca="false">IF(Input!E31="","",IF(E$3&gt;Input!$H$4,"",IFERROR(MATCH(Input!E31,Input!$H$10:$H$29,0),"ERR")))</f>
        <v/>
      </c>
      <c r="F31" s="24" t="n">
        <f aca="false">COUNT(B31:E31)</f>
        <v>0</v>
      </c>
      <c r="G31" s="24" t="n">
        <f aca="false">COUNTIF(B31:E31,"ERR")</f>
        <v>0</v>
      </c>
      <c r="H31" s="25" t="n">
        <f aca="false">IF(F31&gt;=2,1/(F31-1),0)</f>
        <v>0</v>
      </c>
      <c r="I31" s="24" t="n">
        <f aca="false">COUNTIF($B31:$E31,I$3)</f>
        <v>0</v>
      </c>
      <c r="J31" s="24" t="n">
        <f aca="false">COUNTIF($B31:$E31,J$3)</f>
        <v>0</v>
      </c>
      <c r="K31" s="24" t="n">
        <f aca="false">COUNTIF($B31:$E31,K$3)</f>
        <v>0</v>
      </c>
      <c r="L31" s="24" t="n">
        <f aca="false">COUNTIF($B31:$E31,L$3)</f>
        <v>0</v>
      </c>
      <c r="M31" s="24" t="n">
        <f aca="false">COUNTIF($B31:$E31,M$3)</f>
        <v>0</v>
      </c>
      <c r="N31" s="24" t="n">
        <f aca="false">COUNTIF($B31:$E31,N$3)</f>
        <v>0</v>
      </c>
      <c r="O31" s="24" t="n">
        <f aca="false">COUNTIF($B31:$E31,O$3)</f>
        <v>0</v>
      </c>
      <c r="P31" s="24" t="n">
        <f aca="false">COUNTIF($B31:$E31,P$3)</f>
        <v>0</v>
      </c>
      <c r="Q31" s="24" t="n">
        <f aca="false">COUNTIF($B31:$E31,Q$3)</f>
        <v>0</v>
      </c>
      <c r="R31" s="24" t="n">
        <f aca="false">COUNTIF($B31:$E31,R$3)</f>
        <v>0</v>
      </c>
      <c r="S31" s="24" t="n">
        <f aca="false">COUNTIF($B31:$E31,S$3)</f>
        <v>0</v>
      </c>
      <c r="T31" s="24" t="n">
        <f aca="false">COUNTIF($B31:$E31,T$3)</f>
        <v>0</v>
      </c>
      <c r="U31" s="24" t="n">
        <f aca="false">COUNTIF($B31:$E31,U$3)</f>
        <v>0</v>
      </c>
      <c r="V31" s="24" t="n">
        <f aca="false">COUNTIF($B31:$E31,V$3)</f>
        <v>0</v>
      </c>
      <c r="W31" s="24" t="n">
        <f aca="false">COUNTIF($B31:$E31,W$3)</f>
        <v>0</v>
      </c>
      <c r="X31" s="24" t="n">
        <f aca="false">COUNTIF($B31:$E31,X$3)</f>
        <v>0</v>
      </c>
      <c r="Y31" s="24" t="n">
        <f aca="false">COUNTIF($B31:$E31,Y$3)</f>
        <v>0</v>
      </c>
      <c r="Z31" s="24" t="n">
        <f aca="false">COUNTIF($B31:$E31,Z$3)</f>
        <v>0</v>
      </c>
      <c r="AA31" s="24" t="n">
        <f aca="false">COUNTIF($B31:$E31,AA$3)</f>
        <v>0</v>
      </c>
      <c r="AB31" s="24" t="n">
        <f aca="false">COUNTIF($B31:$E31,AB$3)</f>
        <v>0</v>
      </c>
    </row>
    <row r="32" customFormat="false" ht="15" hidden="false" customHeight="false" outlineLevel="0" collapsed="false">
      <c r="A32" s="24" t="n">
        <f aca="false">Input!A32</f>
        <v>28</v>
      </c>
      <c r="B32" s="24" t="str">
        <f aca="false">IF(Input!B32="","",IF(B$3&gt;Input!$H$4,"",IFERROR(MATCH(Input!B32,Input!$H$10:$H$29,0),"ERR")))</f>
        <v/>
      </c>
      <c r="C32" s="24" t="str">
        <f aca="false">IF(Input!C32="","",IF(C$3&gt;Input!$H$4,"",IFERROR(MATCH(Input!C32,Input!$H$10:$H$29,0),"ERR")))</f>
        <v/>
      </c>
      <c r="D32" s="24" t="str">
        <f aca="false">IF(Input!D32="","",IF(D$3&gt;Input!$H$4,"",IFERROR(MATCH(Input!D32,Input!$H$10:$H$29,0),"ERR")))</f>
        <v/>
      </c>
      <c r="E32" s="24" t="str">
        <f aca="false">IF(Input!E32="","",IF(E$3&gt;Input!$H$4,"",IFERROR(MATCH(Input!E32,Input!$H$10:$H$29,0),"ERR")))</f>
        <v/>
      </c>
      <c r="F32" s="24" t="n">
        <f aca="false">COUNT(B32:E32)</f>
        <v>0</v>
      </c>
      <c r="G32" s="24" t="n">
        <f aca="false">COUNTIF(B32:E32,"ERR")</f>
        <v>0</v>
      </c>
      <c r="H32" s="25" t="n">
        <f aca="false">IF(F32&gt;=2,1/(F32-1),0)</f>
        <v>0</v>
      </c>
      <c r="I32" s="24" t="n">
        <f aca="false">COUNTIF($B32:$E32,I$3)</f>
        <v>0</v>
      </c>
      <c r="J32" s="24" t="n">
        <f aca="false">COUNTIF($B32:$E32,J$3)</f>
        <v>0</v>
      </c>
      <c r="K32" s="24" t="n">
        <f aca="false">COUNTIF($B32:$E32,K$3)</f>
        <v>0</v>
      </c>
      <c r="L32" s="24" t="n">
        <f aca="false">COUNTIF($B32:$E32,L$3)</f>
        <v>0</v>
      </c>
      <c r="M32" s="24" t="n">
        <f aca="false">COUNTIF($B32:$E32,M$3)</f>
        <v>0</v>
      </c>
      <c r="N32" s="24" t="n">
        <f aca="false">COUNTIF($B32:$E32,N$3)</f>
        <v>0</v>
      </c>
      <c r="O32" s="24" t="n">
        <f aca="false">COUNTIF($B32:$E32,O$3)</f>
        <v>0</v>
      </c>
      <c r="P32" s="24" t="n">
        <f aca="false">COUNTIF($B32:$E32,P$3)</f>
        <v>0</v>
      </c>
      <c r="Q32" s="24" t="n">
        <f aca="false">COUNTIF($B32:$E32,Q$3)</f>
        <v>0</v>
      </c>
      <c r="R32" s="24" t="n">
        <f aca="false">COUNTIF($B32:$E32,R$3)</f>
        <v>0</v>
      </c>
      <c r="S32" s="24" t="n">
        <f aca="false">COUNTIF($B32:$E32,S$3)</f>
        <v>0</v>
      </c>
      <c r="T32" s="24" t="n">
        <f aca="false">COUNTIF($B32:$E32,T$3)</f>
        <v>0</v>
      </c>
      <c r="U32" s="24" t="n">
        <f aca="false">COUNTIF($B32:$E32,U$3)</f>
        <v>0</v>
      </c>
      <c r="V32" s="24" t="n">
        <f aca="false">COUNTIF($B32:$E32,V$3)</f>
        <v>0</v>
      </c>
      <c r="W32" s="24" t="n">
        <f aca="false">COUNTIF($B32:$E32,W$3)</f>
        <v>0</v>
      </c>
      <c r="X32" s="24" t="n">
        <f aca="false">COUNTIF($B32:$E32,X$3)</f>
        <v>0</v>
      </c>
      <c r="Y32" s="24" t="n">
        <f aca="false">COUNTIF($B32:$E32,Y$3)</f>
        <v>0</v>
      </c>
      <c r="Z32" s="24" t="n">
        <f aca="false">COUNTIF($B32:$E32,Z$3)</f>
        <v>0</v>
      </c>
      <c r="AA32" s="24" t="n">
        <f aca="false">COUNTIF($B32:$E32,AA$3)</f>
        <v>0</v>
      </c>
      <c r="AB32" s="24" t="n">
        <f aca="false">COUNTIF($B32:$E32,AB$3)</f>
        <v>0</v>
      </c>
    </row>
    <row r="33" customFormat="false" ht="15" hidden="false" customHeight="false" outlineLevel="0" collapsed="false">
      <c r="A33" s="24" t="n">
        <f aca="false">Input!A33</f>
        <v>29</v>
      </c>
      <c r="B33" s="24" t="str">
        <f aca="false">IF(Input!B33="","",IF(B$3&gt;Input!$H$4,"",IFERROR(MATCH(Input!B33,Input!$H$10:$H$29,0),"ERR")))</f>
        <v/>
      </c>
      <c r="C33" s="24" t="str">
        <f aca="false">IF(Input!C33="","",IF(C$3&gt;Input!$H$4,"",IFERROR(MATCH(Input!C33,Input!$H$10:$H$29,0),"ERR")))</f>
        <v/>
      </c>
      <c r="D33" s="24" t="str">
        <f aca="false">IF(Input!D33="","",IF(D$3&gt;Input!$H$4,"",IFERROR(MATCH(Input!D33,Input!$H$10:$H$29,0),"ERR")))</f>
        <v/>
      </c>
      <c r="E33" s="24" t="str">
        <f aca="false">IF(Input!E33="","",IF(E$3&gt;Input!$H$4,"",IFERROR(MATCH(Input!E33,Input!$H$10:$H$29,0),"ERR")))</f>
        <v/>
      </c>
      <c r="F33" s="24" t="n">
        <f aca="false">COUNT(B33:E33)</f>
        <v>0</v>
      </c>
      <c r="G33" s="24" t="n">
        <f aca="false">COUNTIF(B33:E33,"ERR")</f>
        <v>0</v>
      </c>
      <c r="H33" s="25" t="n">
        <f aca="false">IF(F33&gt;=2,1/(F33-1),0)</f>
        <v>0</v>
      </c>
      <c r="I33" s="24" t="n">
        <f aca="false">COUNTIF($B33:$E33,I$3)</f>
        <v>0</v>
      </c>
      <c r="J33" s="24" t="n">
        <f aca="false">COUNTIF($B33:$E33,J$3)</f>
        <v>0</v>
      </c>
      <c r="K33" s="24" t="n">
        <f aca="false">COUNTIF($B33:$E33,K$3)</f>
        <v>0</v>
      </c>
      <c r="L33" s="24" t="n">
        <f aca="false">COUNTIF($B33:$E33,L$3)</f>
        <v>0</v>
      </c>
      <c r="M33" s="24" t="n">
        <f aca="false">COUNTIF($B33:$E33,M$3)</f>
        <v>0</v>
      </c>
      <c r="N33" s="24" t="n">
        <f aca="false">COUNTIF($B33:$E33,N$3)</f>
        <v>0</v>
      </c>
      <c r="O33" s="24" t="n">
        <f aca="false">COUNTIF($B33:$E33,O$3)</f>
        <v>0</v>
      </c>
      <c r="P33" s="24" t="n">
        <f aca="false">COUNTIF($B33:$E33,P$3)</f>
        <v>0</v>
      </c>
      <c r="Q33" s="24" t="n">
        <f aca="false">COUNTIF($B33:$E33,Q$3)</f>
        <v>0</v>
      </c>
      <c r="R33" s="24" t="n">
        <f aca="false">COUNTIF($B33:$E33,R$3)</f>
        <v>0</v>
      </c>
      <c r="S33" s="24" t="n">
        <f aca="false">COUNTIF($B33:$E33,S$3)</f>
        <v>0</v>
      </c>
      <c r="T33" s="24" t="n">
        <f aca="false">COUNTIF($B33:$E33,T$3)</f>
        <v>0</v>
      </c>
      <c r="U33" s="24" t="n">
        <f aca="false">COUNTIF($B33:$E33,U$3)</f>
        <v>0</v>
      </c>
      <c r="V33" s="24" t="n">
        <f aca="false">COUNTIF($B33:$E33,V$3)</f>
        <v>0</v>
      </c>
      <c r="W33" s="24" t="n">
        <f aca="false">COUNTIF($B33:$E33,W$3)</f>
        <v>0</v>
      </c>
      <c r="X33" s="24" t="n">
        <f aca="false">COUNTIF($B33:$E33,X$3)</f>
        <v>0</v>
      </c>
      <c r="Y33" s="24" t="n">
        <f aca="false">COUNTIF($B33:$E33,Y$3)</f>
        <v>0</v>
      </c>
      <c r="Z33" s="24" t="n">
        <f aca="false">COUNTIF($B33:$E33,Z$3)</f>
        <v>0</v>
      </c>
      <c r="AA33" s="24" t="n">
        <f aca="false">COUNTIF($B33:$E33,AA$3)</f>
        <v>0</v>
      </c>
      <c r="AB33" s="24" t="n">
        <f aca="false">COUNTIF($B33:$E33,AB$3)</f>
        <v>0</v>
      </c>
    </row>
    <row r="34" customFormat="false" ht="15" hidden="false" customHeight="false" outlineLevel="0" collapsed="false">
      <c r="A34" s="24" t="n">
        <f aca="false">Input!A34</f>
        <v>30</v>
      </c>
      <c r="B34" s="24" t="str">
        <f aca="false">IF(Input!B34="","",IF(B$3&gt;Input!$H$4,"",IFERROR(MATCH(Input!B34,Input!$H$10:$H$29,0),"ERR")))</f>
        <v/>
      </c>
      <c r="C34" s="24" t="str">
        <f aca="false">IF(Input!C34="","",IF(C$3&gt;Input!$H$4,"",IFERROR(MATCH(Input!C34,Input!$H$10:$H$29,0),"ERR")))</f>
        <v/>
      </c>
      <c r="D34" s="24" t="str">
        <f aca="false">IF(Input!D34="","",IF(D$3&gt;Input!$H$4,"",IFERROR(MATCH(Input!D34,Input!$H$10:$H$29,0),"ERR")))</f>
        <v/>
      </c>
      <c r="E34" s="24" t="str">
        <f aca="false">IF(Input!E34="","",IF(E$3&gt;Input!$H$4,"",IFERROR(MATCH(Input!E34,Input!$H$10:$H$29,0),"ERR")))</f>
        <v/>
      </c>
      <c r="F34" s="24" t="n">
        <f aca="false">COUNT(B34:E34)</f>
        <v>0</v>
      </c>
      <c r="G34" s="24" t="n">
        <f aca="false">COUNTIF(B34:E34,"ERR")</f>
        <v>0</v>
      </c>
      <c r="H34" s="25" t="n">
        <f aca="false">IF(F34&gt;=2,1/(F34-1),0)</f>
        <v>0</v>
      </c>
      <c r="I34" s="24" t="n">
        <f aca="false">COUNTIF($B34:$E34,I$3)</f>
        <v>0</v>
      </c>
      <c r="J34" s="24" t="n">
        <f aca="false">COUNTIF($B34:$E34,J$3)</f>
        <v>0</v>
      </c>
      <c r="K34" s="24" t="n">
        <f aca="false">COUNTIF($B34:$E34,K$3)</f>
        <v>0</v>
      </c>
      <c r="L34" s="24" t="n">
        <f aca="false">COUNTIF($B34:$E34,L$3)</f>
        <v>0</v>
      </c>
      <c r="M34" s="24" t="n">
        <f aca="false">COUNTIF($B34:$E34,M$3)</f>
        <v>0</v>
      </c>
      <c r="N34" s="24" t="n">
        <f aca="false">COUNTIF($B34:$E34,N$3)</f>
        <v>0</v>
      </c>
      <c r="O34" s="24" t="n">
        <f aca="false">COUNTIF($B34:$E34,O$3)</f>
        <v>0</v>
      </c>
      <c r="P34" s="24" t="n">
        <f aca="false">COUNTIF($B34:$E34,P$3)</f>
        <v>0</v>
      </c>
      <c r="Q34" s="24" t="n">
        <f aca="false">COUNTIF($B34:$E34,Q$3)</f>
        <v>0</v>
      </c>
      <c r="R34" s="24" t="n">
        <f aca="false">COUNTIF($B34:$E34,R$3)</f>
        <v>0</v>
      </c>
      <c r="S34" s="24" t="n">
        <f aca="false">COUNTIF($B34:$E34,S$3)</f>
        <v>0</v>
      </c>
      <c r="T34" s="24" t="n">
        <f aca="false">COUNTIF($B34:$E34,T$3)</f>
        <v>0</v>
      </c>
      <c r="U34" s="24" t="n">
        <f aca="false">COUNTIF($B34:$E34,U$3)</f>
        <v>0</v>
      </c>
      <c r="V34" s="24" t="n">
        <f aca="false">COUNTIF($B34:$E34,V$3)</f>
        <v>0</v>
      </c>
      <c r="W34" s="24" t="n">
        <f aca="false">COUNTIF($B34:$E34,W$3)</f>
        <v>0</v>
      </c>
      <c r="X34" s="24" t="n">
        <f aca="false">COUNTIF($B34:$E34,X$3)</f>
        <v>0</v>
      </c>
      <c r="Y34" s="24" t="n">
        <f aca="false">COUNTIF($B34:$E34,Y$3)</f>
        <v>0</v>
      </c>
      <c r="Z34" s="24" t="n">
        <f aca="false">COUNTIF($B34:$E34,Z$3)</f>
        <v>0</v>
      </c>
      <c r="AA34" s="24" t="n">
        <f aca="false">COUNTIF($B34:$E34,AA$3)</f>
        <v>0</v>
      </c>
      <c r="AB34" s="24" t="n">
        <f aca="false">COUNTIF($B34:$E34,AB$3)</f>
        <v>0</v>
      </c>
    </row>
    <row r="35" customFormat="false" ht="15" hidden="false" customHeight="false" outlineLevel="0" collapsed="false">
      <c r="A35" s="24" t="n">
        <f aca="false">Input!A35</f>
        <v>31</v>
      </c>
      <c r="B35" s="24" t="str">
        <f aca="false">IF(Input!B35="","",IF(B$3&gt;Input!$H$4,"",IFERROR(MATCH(Input!B35,Input!$H$10:$H$29,0),"ERR")))</f>
        <v/>
      </c>
      <c r="C35" s="24" t="str">
        <f aca="false">IF(Input!C35="","",IF(C$3&gt;Input!$H$4,"",IFERROR(MATCH(Input!C35,Input!$H$10:$H$29,0),"ERR")))</f>
        <v/>
      </c>
      <c r="D35" s="24" t="str">
        <f aca="false">IF(Input!D35="","",IF(D$3&gt;Input!$H$4,"",IFERROR(MATCH(Input!D35,Input!$H$10:$H$29,0),"ERR")))</f>
        <v/>
      </c>
      <c r="E35" s="24" t="str">
        <f aca="false">IF(Input!E35="","",IF(E$3&gt;Input!$H$4,"",IFERROR(MATCH(Input!E35,Input!$H$10:$H$29,0),"ERR")))</f>
        <v/>
      </c>
      <c r="F35" s="24" t="n">
        <f aca="false">COUNT(B35:E35)</f>
        <v>0</v>
      </c>
      <c r="G35" s="24" t="n">
        <f aca="false">COUNTIF(B35:E35,"ERR")</f>
        <v>0</v>
      </c>
      <c r="H35" s="25" t="n">
        <f aca="false">IF(F35&gt;=2,1/(F35-1),0)</f>
        <v>0</v>
      </c>
      <c r="I35" s="24" t="n">
        <f aca="false">COUNTIF($B35:$E35,I$3)</f>
        <v>0</v>
      </c>
      <c r="J35" s="24" t="n">
        <f aca="false">COUNTIF($B35:$E35,J$3)</f>
        <v>0</v>
      </c>
      <c r="K35" s="24" t="n">
        <f aca="false">COUNTIF($B35:$E35,K$3)</f>
        <v>0</v>
      </c>
      <c r="L35" s="24" t="n">
        <f aca="false">COUNTIF($B35:$E35,L$3)</f>
        <v>0</v>
      </c>
      <c r="M35" s="24" t="n">
        <f aca="false">COUNTIF($B35:$E35,M$3)</f>
        <v>0</v>
      </c>
      <c r="N35" s="24" t="n">
        <f aca="false">COUNTIF($B35:$E35,N$3)</f>
        <v>0</v>
      </c>
      <c r="O35" s="24" t="n">
        <f aca="false">COUNTIF($B35:$E35,O$3)</f>
        <v>0</v>
      </c>
      <c r="P35" s="24" t="n">
        <f aca="false">COUNTIF($B35:$E35,P$3)</f>
        <v>0</v>
      </c>
      <c r="Q35" s="24" t="n">
        <f aca="false">COUNTIF($B35:$E35,Q$3)</f>
        <v>0</v>
      </c>
      <c r="R35" s="24" t="n">
        <f aca="false">COUNTIF($B35:$E35,R$3)</f>
        <v>0</v>
      </c>
      <c r="S35" s="24" t="n">
        <f aca="false">COUNTIF($B35:$E35,S$3)</f>
        <v>0</v>
      </c>
      <c r="T35" s="24" t="n">
        <f aca="false">COUNTIF($B35:$E35,T$3)</f>
        <v>0</v>
      </c>
      <c r="U35" s="24" t="n">
        <f aca="false">COUNTIF($B35:$E35,U$3)</f>
        <v>0</v>
      </c>
      <c r="V35" s="24" t="n">
        <f aca="false">COUNTIF($B35:$E35,V$3)</f>
        <v>0</v>
      </c>
      <c r="W35" s="24" t="n">
        <f aca="false">COUNTIF($B35:$E35,W$3)</f>
        <v>0</v>
      </c>
      <c r="X35" s="24" t="n">
        <f aca="false">COUNTIF($B35:$E35,X$3)</f>
        <v>0</v>
      </c>
      <c r="Y35" s="24" t="n">
        <f aca="false">COUNTIF($B35:$E35,Y$3)</f>
        <v>0</v>
      </c>
      <c r="Z35" s="24" t="n">
        <f aca="false">COUNTIF($B35:$E35,Z$3)</f>
        <v>0</v>
      </c>
      <c r="AA35" s="24" t="n">
        <f aca="false">COUNTIF($B35:$E35,AA$3)</f>
        <v>0</v>
      </c>
      <c r="AB35" s="24" t="n">
        <f aca="false">COUNTIF($B35:$E35,AB$3)</f>
        <v>0</v>
      </c>
    </row>
    <row r="36" customFormat="false" ht="15" hidden="false" customHeight="false" outlineLevel="0" collapsed="false">
      <c r="A36" s="24" t="n">
        <f aca="false">Input!A36</f>
        <v>32</v>
      </c>
      <c r="B36" s="24" t="str">
        <f aca="false">IF(Input!B36="","",IF(B$3&gt;Input!$H$4,"",IFERROR(MATCH(Input!B36,Input!$H$10:$H$29,0),"ERR")))</f>
        <v/>
      </c>
      <c r="C36" s="24" t="str">
        <f aca="false">IF(Input!C36="","",IF(C$3&gt;Input!$H$4,"",IFERROR(MATCH(Input!C36,Input!$H$10:$H$29,0),"ERR")))</f>
        <v/>
      </c>
      <c r="D36" s="24" t="str">
        <f aca="false">IF(Input!D36="","",IF(D$3&gt;Input!$H$4,"",IFERROR(MATCH(Input!D36,Input!$H$10:$H$29,0),"ERR")))</f>
        <v/>
      </c>
      <c r="E36" s="24" t="str">
        <f aca="false">IF(Input!E36="","",IF(E$3&gt;Input!$H$4,"",IFERROR(MATCH(Input!E36,Input!$H$10:$H$29,0),"ERR")))</f>
        <v/>
      </c>
      <c r="F36" s="24" t="n">
        <f aca="false">COUNT(B36:E36)</f>
        <v>0</v>
      </c>
      <c r="G36" s="24" t="n">
        <f aca="false">COUNTIF(B36:E36,"ERR")</f>
        <v>0</v>
      </c>
      <c r="H36" s="25" t="n">
        <f aca="false">IF(F36&gt;=2,1/(F36-1),0)</f>
        <v>0</v>
      </c>
      <c r="I36" s="24" t="n">
        <f aca="false">COUNTIF($B36:$E36,I$3)</f>
        <v>0</v>
      </c>
      <c r="J36" s="24" t="n">
        <f aca="false">COUNTIF($B36:$E36,J$3)</f>
        <v>0</v>
      </c>
      <c r="K36" s="24" t="n">
        <f aca="false">COUNTIF($B36:$E36,K$3)</f>
        <v>0</v>
      </c>
      <c r="L36" s="24" t="n">
        <f aca="false">COUNTIF($B36:$E36,L$3)</f>
        <v>0</v>
      </c>
      <c r="M36" s="24" t="n">
        <f aca="false">COUNTIF($B36:$E36,M$3)</f>
        <v>0</v>
      </c>
      <c r="N36" s="24" t="n">
        <f aca="false">COUNTIF($B36:$E36,N$3)</f>
        <v>0</v>
      </c>
      <c r="O36" s="24" t="n">
        <f aca="false">COUNTIF($B36:$E36,O$3)</f>
        <v>0</v>
      </c>
      <c r="P36" s="24" t="n">
        <f aca="false">COUNTIF($B36:$E36,P$3)</f>
        <v>0</v>
      </c>
      <c r="Q36" s="24" t="n">
        <f aca="false">COUNTIF($B36:$E36,Q$3)</f>
        <v>0</v>
      </c>
      <c r="R36" s="24" t="n">
        <f aca="false">COUNTIF($B36:$E36,R$3)</f>
        <v>0</v>
      </c>
      <c r="S36" s="24" t="n">
        <f aca="false">COUNTIF($B36:$E36,S$3)</f>
        <v>0</v>
      </c>
      <c r="T36" s="24" t="n">
        <f aca="false">COUNTIF($B36:$E36,T$3)</f>
        <v>0</v>
      </c>
      <c r="U36" s="24" t="n">
        <f aca="false">COUNTIF($B36:$E36,U$3)</f>
        <v>0</v>
      </c>
      <c r="V36" s="24" t="n">
        <f aca="false">COUNTIF($B36:$E36,V$3)</f>
        <v>0</v>
      </c>
      <c r="W36" s="24" t="n">
        <f aca="false">COUNTIF($B36:$E36,W$3)</f>
        <v>0</v>
      </c>
      <c r="X36" s="24" t="n">
        <f aca="false">COUNTIF($B36:$E36,X$3)</f>
        <v>0</v>
      </c>
      <c r="Y36" s="24" t="n">
        <f aca="false">COUNTIF($B36:$E36,Y$3)</f>
        <v>0</v>
      </c>
      <c r="Z36" s="24" t="n">
        <f aca="false">COUNTIF($B36:$E36,Z$3)</f>
        <v>0</v>
      </c>
      <c r="AA36" s="24" t="n">
        <f aca="false">COUNTIF($B36:$E36,AA$3)</f>
        <v>0</v>
      </c>
      <c r="AB36" s="24" t="n">
        <f aca="false">COUNTIF($B36:$E36,AB$3)</f>
        <v>0</v>
      </c>
    </row>
    <row r="37" customFormat="false" ht="15" hidden="false" customHeight="false" outlineLevel="0" collapsed="false">
      <c r="A37" s="24" t="n">
        <f aca="false">Input!A37</f>
        <v>33</v>
      </c>
      <c r="B37" s="24" t="str">
        <f aca="false">IF(Input!B37="","",IF(B$3&gt;Input!$H$4,"",IFERROR(MATCH(Input!B37,Input!$H$10:$H$29,0),"ERR")))</f>
        <v/>
      </c>
      <c r="C37" s="24" t="str">
        <f aca="false">IF(Input!C37="","",IF(C$3&gt;Input!$H$4,"",IFERROR(MATCH(Input!C37,Input!$H$10:$H$29,0),"ERR")))</f>
        <v/>
      </c>
      <c r="D37" s="24" t="str">
        <f aca="false">IF(Input!D37="","",IF(D$3&gt;Input!$H$4,"",IFERROR(MATCH(Input!D37,Input!$H$10:$H$29,0),"ERR")))</f>
        <v/>
      </c>
      <c r="E37" s="24" t="str">
        <f aca="false">IF(Input!E37="","",IF(E$3&gt;Input!$H$4,"",IFERROR(MATCH(Input!E37,Input!$H$10:$H$29,0),"ERR")))</f>
        <v/>
      </c>
      <c r="F37" s="24" t="n">
        <f aca="false">COUNT(B37:E37)</f>
        <v>0</v>
      </c>
      <c r="G37" s="24" t="n">
        <f aca="false">COUNTIF(B37:E37,"ERR")</f>
        <v>0</v>
      </c>
      <c r="H37" s="25" t="n">
        <f aca="false">IF(F37&gt;=2,1/(F37-1),0)</f>
        <v>0</v>
      </c>
      <c r="I37" s="24" t="n">
        <f aca="false">COUNTIF($B37:$E37,I$3)</f>
        <v>0</v>
      </c>
      <c r="J37" s="24" t="n">
        <f aca="false">COUNTIF($B37:$E37,J$3)</f>
        <v>0</v>
      </c>
      <c r="K37" s="24" t="n">
        <f aca="false">COUNTIF($B37:$E37,K$3)</f>
        <v>0</v>
      </c>
      <c r="L37" s="24" t="n">
        <f aca="false">COUNTIF($B37:$E37,L$3)</f>
        <v>0</v>
      </c>
      <c r="M37" s="24" t="n">
        <f aca="false">COUNTIF($B37:$E37,M$3)</f>
        <v>0</v>
      </c>
      <c r="N37" s="24" t="n">
        <f aca="false">COUNTIF($B37:$E37,N$3)</f>
        <v>0</v>
      </c>
      <c r="O37" s="24" t="n">
        <f aca="false">COUNTIF($B37:$E37,O$3)</f>
        <v>0</v>
      </c>
      <c r="P37" s="24" t="n">
        <f aca="false">COUNTIF($B37:$E37,P$3)</f>
        <v>0</v>
      </c>
      <c r="Q37" s="24" t="n">
        <f aca="false">COUNTIF($B37:$E37,Q$3)</f>
        <v>0</v>
      </c>
      <c r="R37" s="24" t="n">
        <f aca="false">COUNTIF($B37:$E37,R$3)</f>
        <v>0</v>
      </c>
      <c r="S37" s="24" t="n">
        <f aca="false">COUNTIF($B37:$E37,S$3)</f>
        <v>0</v>
      </c>
      <c r="T37" s="24" t="n">
        <f aca="false">COUNTIF($B37:$E37,T$3)</f>
        <v>0</v>
      </c>
      <c r="U37" s="24" t="n">
        <f aca="false">COUNTIF($B37:$E37,U$3)</f>
        <v>0</v>
      </c>
      <c r="V37" s="24" t="n">
        <f aca="false">COUNTIF($B37:$E37,V$3)</f>
        <v>0</v>
      </c>
      <c r="W37" s="24" t="n">
        <f aca="false">COUNTIF($B37:$E37,W$3)</f>
        <v>0</v>
      </c>
      <c r="X37" s="24" t="n">
        <f aca="false">COUNTIF($B37:$E37,X$3)</f>
        <v>0</v>
      </c>
      <c r="Y37" s="24" t="n">
        <f aca="false">COUNTIF($B37:$E37,Y$3)</f>
        <v>0</v>
      </c>
      <c r="Z37" s="24" t="n">
        <f aca="false">COUNTIF($B37:$E37,Z$3)</f>
        <v>0</v>
      </c>
      <c r="AA37" s="24" t="n">
        <f aca="false">COUNTIF($B37:$E37,AA$3)</f>
        <v>0</v>
      </c>
      <c r="AB37" s="24" t="n">
        <f aca="false">COUNTIF($B37:$E37,AB$3)</f>
        <v>0</v>
      </c>
    </row>
    <row r="38" customFormat="false" ht="15" hidden="false" customHeight="false" outlineLevel="0" collapsed="false">
      <c r="A38" s="24" t="n">
        <f aca="false">Input!A38</f>
        <v>34</v>
      </c>
      <c r="B38" s="24" t="str">
        <f aca="false">IF(Input!B38="","",IF(B$3&gt;Input!$H$4,"",IFERROR(MATCH(Input!B38,Input!$H$10:$H$29,0),"ERR")))</f>
        <v/>
      </c>
      <c r="C38" s="24" t="str">
        <f aca="false">IF(Input!C38="","",IF(C$3&gt;Input!$H$4,"",IFERROR(MATCH(Input!C38,Input!$H$10:$H$29,0),"ERR")))</f>
        <v/>
      </c>
      <c r="D38" s="24" t="str">
        <f aca="false">IF(Input!D38="","",IF(D$3&gt;Input!$H$4,"",IFERROR(MATCH(Input!D38,Input!$H$10:$H$29,0),"ERR")))</f>
        <v/>
      </c>
      <c r="E38" s="24" t="str">
        <f aca="false">IF(Input!E38="","",IF(E$3&gt;Input!$H$4,"",IFERROR(MATCH(Input!E38,Input!$H$10:$H$29,0),"ERR")))</f>
        <v/>
      </c>
      <c r="F38" s="24" t="n">
        <f aca="false">COUNT(B38:E38)</f>
        <v>0</v>
      </c>
      <c r="G38" s="24" t="n">
        <f aca="false">COUNTIF(B38:E38,"ERR")</f>
        <v>0</v>
      </c>
      <c r="H38" s="25" t="n">
        <f aca="false">IF(F38&gt;=2,1/(F38-1),0)</f>
        <v>0</v>
      </c>
      <c r="I38" s="24" t="n">
        <f aca="false">COUNTIF($B38:$E38,I$3)</f>
        <v>0</v>
      </c>
      <c r="J38" s="24" t="n">
        <f aca="false">COUNTIF($B38:$E38,J$3)</f>
        <v>0</v>
      </c>
      <c r="K38" s="24" t="n">
        <f aca="false">COUNTIF($B38:$E38,K$3)</f>
        <v>0</v>
      </c>
      <c r="L38" s="24" t="n">
        <f aca="false">COUNTIF($B38:$E38,L$3)</f>
        <v>0</v>
      </c>
      <c r="M38" s="24" t="n">
        <f aca="false">COUNTIF($B38:$E38,M$3)</f>
        <v>0</v>
      </c>
      <c r="N38" s="24" t="n">
        <f aca="false">COUNTIF($B38:$E38,N$3)</f>
        <v>0</v>
      </c>
      <c r="O38" s="24" t="n">
        <f aca="false">COUNTIF($B38:$E38,O$3)</f>
        <v>0</v>
      </c>
      <c r="P38" s="24" t="n">
        <f aca="false">COUNTIF($B38:$E38,P$3)</f>
        <v>0</v>
      </c>
      <c r="Q38" s="24" t="n">
        <f aca="false">COUNTIF($B38:$E38,Q$3)</f>
        <v>0</v>
      </c>
      <c r="R38" s="24" t="n">
        <f aca="false">COUNTIF($B38:$E38,R$3)</f>
        <v>0</v>
      </c>
      <c r="S38" s="24" t="n">
        <f aca="false">COUNTIF($B38:$E38,S$3)</f>
        <v>0</v>
      </c>
      <c r="T38" s="24" t="n">
        <f aca="false">COUNTIF($B38:$E38,T$3)</f>
        <v>0</v>
      </c>
      <c r="U38" s="24" t="n">
        <f aca="false">COUNTIF($B38:$E38,U$3)</f>
        <v>0</v>
      </c>
      <c r="V38" s="24" t="n">
        <f aca="false">COUNTIF($B38:$E38,V$3)</f>
        <v>0</v>
      </c>
      <c r="W38" s="24" t="n">
        <f aca="false">COUNTIF($B38:$E38,W$3)</f>
        <v>0</v>
      </c>
      <c r="X38" s="24" t="n">
        <f aca="false">COUNTIF($B38:$E38,X$3)</f>
        <v>0</v>
      </c>
      <c r="Y38" s="24" t="n">
        <f aca="false">COUNTIF($B38:$E38,Y$3)</f>
        <v>0</v>
      </c>
      <c r="Z38" s="24" t="n">
        <f aca="false">COUNTIF($B38:$E38,Z$3)</f>
        <v>0</v>
      </c>
      <c r="AA38" s="24" t="n">
        <f aca="false">COUNTIF($B38:$E38,AA$3)</f>
        <v>0</v>
      </c>
      <c r="AB38" s="24" t="n">
        <f aca="false">COUNTIF($B38:$E38,AB$3)</f>
        <v>0</v>
      </c>
    </row>
    <row r="39" customFormat="false" ht="15" hidden="false" customHeight="false" outlineLevel="0" collapsed="false">
      <c r="A39" s="24" t="n">
        <f aca="false">Input!A39</f>
        <v>35</v>
      </c>
      <c r="B39" s="24" t="str">
        <f aca="false">IF(Input!B39="","",IF(B$3&gt;Input!$H$4,"",IFERROR(MATCH(Input!B39,Input!$H$10:$H$29,0),"ERR")))</f>
        <v/>
      </c>
      <c r="C39" s="24" t="str">
        <f aca="false">IF(Input!C39="","",IF(C$3&gt;Input!$H$4,"",IFERROR(MATCH(Input!C39,Input!$H$10:$H$29,0),"ERR")))</f>
        <v/>
      </c>
      <c r="D39" s="24" t="str">
        <f aca="false">IF(Input!D39="","",IF(D$3&gt;Input!$H$4,"",IFERROR(MATCH(Input!D39,Input!$H$10:$H$29,0),"ERR")))</f>
        <v/>
      </c>
      <c r="E39" s="24" t="str">
        <f aca="false">IF(Input!E39="","",IF(E$3&gt;Input!$H$4,"",IFERROR(MATCH(Input!E39,Input!$H$10:$H$29,0),"ERR")))</f>
        <v/>
      </c>
      <c r="F39" s="24" t="n">
        <f aca="false">COUNT(B39:E39)</f>
        <v>0</v>
      </c>
      <c r="G39" s="24" t="n">
        <f aca="false">COUNTIF(B39:E39,"ERR")</f>
        <v>0</v>
      </c>
      <c r="H39" s="25" t="n">
        <f aca="false">IF(F39&gt;=2,1/(F39-1),0)</f>
        <v>0</v>
      </c>
      <c r="I39" s="24" t="n">
        <f aca="false">COUNTIF($B39:$E39,I$3)</f>
        <v>0</v>
      </c>
      <c r="J39" s="24" t="n">
        <f aca="false">COUNTIF($B39:$E39,J$3)</f>
        <v>0</v>
      </c>
      <c r="K39" s="24" t="n">
        <f aca="false">COUNTIF($B39:$E39,K$3)</f>
        <v>0</v>
      </c>
      <c r="L39" s="24" t="n">
        <f aca="false">COUNTIF($B39:$E39,L$3)</f>
        <v>0</v>
      </c>
      <c r="M39" s="24" t="n">
        <f aca="false">COUNTIF($B39:$E39,M$3)</f>
        <v>0</v>
      </c>
      <c r="N39" s="24" t="n">
        <f aca="false">COUNTIF($B39:$E39,N$3)</f>
        <v>0</v>
      </c>
      <c r="O39" s="24" t="n">
        <f aca="false">COUNTIF($B39:$E39,O$3)</f>
        <v>0</v>
      </c>
      <c r="P39" s="24" t="n">
        <f aca="false">COUNTIF($B39:$E39,P$3)</f>
        <v>0</v>
      </c>
      <c r="Q39" s="24" t="n">
        <f aca="false">COUNTIF($B39:$E39,Q$3)</f>
        <v>0</v>
      </c>
      <c r="R39" s="24" t="n">
        <f aca="false">COUNTIF($B39:$E39,R$3)</f>
        <v>0</v>
      </c>
      <c r="S39" s="24" t="n">
        <f aca="false">COUNTIF($B39:$E39,S$3)</f>
        <v>0</v>
      </c>
      <c r="T39" s="24" t="n">
        <f aca="false">COUNTIF($B39:$E39,T$3)</f>
        <v>0</v>
      </c>
      <c r="U39" s="24" t="n">
        <f aca="false">COUNTIF($B39:$E39,U$3)</f>
        <v>0</v>
      </c>
      <c r="V39" s="24" t="n">
        <f aca="false">COUNTIF($B39:$E39,V$3)</f>
        <v>0</v>
      </c>
      <c r="W39" s="24" t="n">
        <f aca="false">COUNTIF($B39:$E39,W$3)</f>
        <v>0</v>
      </c>
      <c r="X39" s="24" t="n">
        <f aca="false">COUNTIF($B39:$E39,X$3)</f>
        <v>0</v>
      </c>
      <c r="Y39" s="24" t="n">
        <f aca="false">COUNTIF($B39:$E39,Y$3)</f>
        <v>0</v>
      </c>
      <c r="Z39" s="24" t="n">
        <f aca="false">COUNTIF($B39:$E39,Z$3)</f>
        <v>0</v>
      </c>
      <c r="AA39" s="24" t="n">
        <f aca="false">COUNTIF($B39:$E39,AA$3)</f>
        <v>0</v>
      </c>
      <c r="AB39" s="24" t="n">
        <f aca="false">COUNTIF($B39:$E39,AB$3)</f>
        <v>0</v>
      </c>
    </row>
    <row r="40" customFormat="false" ht="15" hidden="false" customHeight="false" outlineLevel="0" collapsed="false">
      <c r="A40" s="24" t="n">
        <f aca="false">Input!A40</f>
        <v>36</v>
      </c>
      <c r="B40" s="24" t="str">
        <f aca="false">IF(Input!B40="","",IF(B$3&gt;Input!$H$4,"",IFERROR(MATCH(Input!B40,Input!$H$10:$H$29,0),"ERR")))</f>
        <v/>
      </c>
      <c r="C40" s="24" t="str">
        <f aca="false">IF(Input!C40="","",IF(C$3&gt;Input!$H$4,"",IFERROR(MATCH(Input!C40,Input!$H$10:$H$29,0),"ERR")))</f>
        <v/>
      </c>
      <c r="D40" s="24" t="str">
        <f aca="false">IF(Input!D40="","",IF(D$3&gt;Input!$H$4,"",IFERROR(MATCH(Input!D40,Input!$H$10:$H$29,0),"ERR")))</f>
        <v/>
      </c>
      <c r="E40" s="24" t="str">
        <f aca="false">IF(Input!E40="","",IF(E$3&gt;Input!$H$4,"",IFERROR(MATCH(Input!E40,Input!$H$10:$H$29,0),"ERR")))</f>
        <v/>
      </c>
      <c r="F40" s="24" t="n">
        <f aca="false">COUNT(B40:E40)</f>
        <v>0</v>
      </c>
      <c r="G40" s="24" t="n">
        <f aca="false">COUNTIF(B40:E40,"ERR")</f>
        <v>0</v>
      </c>
      <c r="H40" s="25" t="n">
        <f aca="false">IF(F40&gt;=2,1/(F40-1),0)</f>
        <v>0</v>
      </c>
      <c r="I40" s="24" t="n">
        <f aca="false">COUNTIF($B40:$E40,I$3)</f>
        <v>0</v>
      </c>
      <c r="J40" s="24" t="n">
        <f aca="false">COUNTIF($B40:$E40,J$3)</f>
        <v>0</v>
      </c>
      <c r="K40" s="24" t="n">
        <f aca="false">COUNTIF($B40:$E40,K$3)</f>
        <v>0</v>
      </c>
      <c r="L40" s="24" t="n">
        <f aca="false">COUNTIF($B40:$E40,L$3)</f>
        <v>0</v>
      </c>
      <c r="M40" s="24" t="n">
        <f aca="false">COUNTIF($B40:$E40,M$3)</f>
        <v>0</v>
      </c>
      <c r="N40" s="24" t="n">
        <f aca="false">COUNTIF($B40:$E40,N$3)</f>
        <v>0</v>
      </c>
      <c r="O40" s="24" t="n">
        <f aca="false">COUNTIF($B40:$E40,O$3)</f>
        <v>0</v>
      </c>
      <c r="P40" s="24" t="n">
        <f aca="false">COUNTIF($B40:$E40,P$3)</f>
        <v>0</v>
      </c>
      <c r="Q40" s="24" t="n">
        <f aca="false">COUNTIF($B40:$E40,Q$3)</f>
        <v>0</v>
      </c>
      <c r="R40" s="24" t="n">
        <f aca="false">COUNTIF($B40:$E40,R$3)</f>
        <v>0</v>
      </c>
      <c r="S40" s="24" t="n">
        <f aca="false">COUNTIF($B40:$E40,S$3)</f>
        <v>0</v>
      </c>
      <c r="T40" s="24" t="n">
        <f aca="false">COUNTIF($B40:$E40,T$3)</f>
        <v>0</v>
      </c>
      <c r="U40" s="24" t="n">
        <f aca="false">COUNTIF($B40:$E40,U$3)</f>
        <v>0</v>
      </c>
      <c r="V40" s="24" t="n">
        <f aca="false">COUNTIF($B40:$E40,V$3)</f>
        <v>0</v>
      </c>
      <c r="W40" s="24" t="n">
        <f aca="false">COUNTIF($B40:$E40,W$3)</f>
        <v>0</v>
      </c>
      <c r="X40" s="24" t="n">
        <f aca="false">COUNTIF($B40:$E40,X$3)</f>
        <v>0</v>
      </c>
      <c r="Y40" s="24" t="n">
        <f aca="false">COUNTIF($B40:$E40,Y$3)</f>
        <v>0</v>
      </c>
      <c r="Z40" s="24" t="n">
        <f aca="false">COUNTIF($B40:$E40,Z$3)</f>
        <v>0</v>
      </c>
      <c r="AA40" s="24" t="n">
        <f aca="false">COUNTIF($B40:$E40,AA$3)</f>
        <v>0</v>
      </c>
      <c r="AB40" s="24" t="n">
        <f aca="false">COUNTIF($B40:$E40,AB$3)</f>
        <v>0</v>
      </c>
    </row>
    <row r="41" customFormat="false" ht="15" hidden="false" customHeight="false" outlineLevel="0" collapsed="false">
      <c r="A41" s="24" t="n">
        <f aca="false">Input!A41</f>
        <v>37</v>
      </c>
      <c r="B41" s="24" t="str">
        <f aca="false">IF(Input!B41="","",IF(B$3&gt;Input!$H$4,"",IFERROR(MATCH(Input!B41,Input!$H$10:$H$29,0),"ERR")))</f>
        <v/>
      </c>
      <c r="C41" s="24" t="str">
        <f aca="false">IF(Input!C41="","",IF(C$3&gt;Input!$H$4,"",IFERROR(MATCH(Input!C41,Input!$H$10:$H$29,0),"ERR")))</f>
        <v/>
      </c>
      <c r="D41" s="24" t="str">
        <f aca="false">IF(Input!D41="","",IF(D$3&gt;Input!$H$4,"",IFERROR(MATCH(Input!D41,Input!$H$10:$H$29,0),"ERR")))</f>
        <v/>
      </c>
      <c r="E41" s="24" t="str">
        <f aca="false">IF(Input!E41="","",IF(E$3&gt;Input!$H$4,"",IFERROR(MATCH(Input!E41,Input!$H$10:$H$29,0),"ERR")))</f>
        <v/>
      </c>
      <c r="F41" s="24" t="n">
        <f aca="false">COUNT(B41:E41)</f>
        <v>0</v>
      </c>
      <c r="G41" s="24" t="n">
        <f aca="false">COUNTIF(B41:E41,"ERR")</f>
        <v>0</v>
      </c>
      <c r="H41" s="25" t="n">
        <f aca="false">IF(F41&gt;=2,1/(F41-1),0)</f>
        <v>0</v>
      </c>
      <c r="I41" s="24" t="n">
        <f aca="false">COUNTIF($B41:$E41,I$3)</f>
        <v>0</v>
      </c>
      <c r="J41" s="24" t="n">
        <f aca="false">COUNTIF($B41:$E41,J$3)</f>
        <v>0</v>
      </c>
      <c r="K41" s="24" t="n">
        <f aca="false">COUNTIF($B41:$E41,K$3)</f>
        <v>0</v>
      </c>
      <c r="L41" s="24" t="n">
        <f aca="false">COUNTIF($B41:$E41,L$3)</f>
        <v>0</v>
      </c>
      <c r="M41" s="24" t="n">
        <f aca="false">COUNTIF($B41:$E41,M$3)</f>
        <v>0</v>
      </c>
      <c r="N41" s="24" t="n">
        <f aca="false">COUNTIF($B41:$E41,N$3)</f>
        <v>0</v>
      </c>
      <c r="O41" s="24" t="n">
        <f aca="false">COUNTIF($B41:$E41,O$3)</f>
        <v>0</v>
      </c>
      <c r="P41" s="24" t="n">
        <f aca="false">COUNTIF($B41:$E41,P$3)</f>
        <v>0</v>
      </c>
      <c r="Q41" s="24" t="n">
        <f aca="false">COUNTIF($B41:$E41,Q$3)</f>
        <v>0</v>
      </c>
      <c r="R41" s="24" t="n">
        <f aca="false">COUNTIF($B41:$E41,R$3)</f>
        <v>0</v>
      </c>
      <c r="S41" s="24" t="n">
        <f aca="false">COUNTIF($B41:$E41,S$3)</f>
        <v>0</v>
      </c>
      <c r="T41" s="24" t="n">
        <f aca="false">COUNTIF($B41:$E41,T$3)</f>
        <v>0</v>
      </c>
      <c r="U41" s="24" t="n">
        <f aca="false">COUNTIF($B41:$E41,U$3)</f>
        <v>0</v>
      </c>
      <c r="V41" s="24" t="n">
        <f aca="false">COUNTIF($B41:$E41,V$3)</f>
        <v>0</v>
      </c>
      <c r="W41" s="24" t="n">
        <f aca="false">COUNTIF($B41:$E41,W$3)</f>
        <v>0</v>
      </c>
      <c r="X41" s="24" t="n">
        <f aca="false">COUNTIF($B41:$E41,X$3)</f>
        <v>0</v>
      </c>
      <c r="Y41" s="24" t="n">
        <f aca="false">COUNTIF($B41:$E41,Y$3)</f>
        <v>0</v>
      </c>
      <c r="Z41" s="24" t="n">
        <f aca="false">COUNTIF($B41:$E41,Z$3)</f>
        <v>0</v>
      </c>
      <c r="AA41" s="24" t="n">
        <f aca="false">COUNTIF($B41:$E41,AA$3)</f>
        <v>0</v>
      </c>
      <c r="AB41" s="24" t="n">
        <f aca="false">COUNTIF($B41:$E41,AB$3)</f>
        <v>0</v>
      </c>
    </row>
    <row r="42" customFormat="false" ht="15" hidden="false" customHeight="false" outlineLevel="0" collapsed="false">
      <c r="A42" s="24" t="n">
        <f aca="false">Input!A42</f>
        <v>38</v>
      </c>
      <c r="B42" s="24" t="str">
        <f aca="false">IF(Input!B42="","",IF(B$3&gt;Input!$H$4,"",IFERROR(MATCH(Input!B42,Input!$H$10:$H$29,0),"ERR")))</f>
        <v/>
      </c>
      <c r="C42" s="24" t="str">
        <f aca="false">IF(Input!C42="","",IF(C$3&gt;Input!$H$4,"",IFERROR(MATCH(Input!C42,Input!$H$10:$H$29,0),"ERR")))</f>
        <v/>
      </c>
      <c r="D42" s="24" t="str">
        <f aca="false">IF(Input!D42="","",IF(D$3&gt;Input!$H$4,"",IFERROR(MATCH(Input!D42,Input!$H$10:$H$29,0),"ERR")))</f>
        <v/>
      </c>
      <c r="E42" s="24" t="str">
        <f aca="false">IF(Input!E42="","",IF(E$3&gt;Input!$H$4,"",IFERROR(MATCH(Input!E42,Input!$H$10:$H$29,0),"ERR")))</f>
        <v/>
      </c>
      <c r="F42" s="24" t="n">
        <f aca="false">COUNT(B42:E42)</f>
        <v>0</v>
      </c>
      <c r="G42" s="24" t="n">
        <f aca="false">COUNTIF(B42:E42,"ERR")</f>
        <v>0</v>
      </c>
      <c r="H42" s="25" t="n">
        <f aca="false">IF(F42&gt;=2,1/(F42-1),0)</f>
        <v>0</v>
      </c>
      <c r="I42" s="24" t="n">
        <f aca="false">COUNTIF($B42:$E42,I$3)</f>
        <v>0</v>
      </c>
      <c r="J42" s="24" t="n">
        <f aca="false">COUNTIF($B42:$E42,J$3)</f>
        <v>0</v>
      </c>
      <c r="K42" s="24" t="n">
        <f aca="false">COUNTIF($B42:$E42,K$3)</f>
        <v>0</v>
      </c>
      <c r="L42" s="24" t="n">
        <f aca="false">COUNTIF($B42:$E42,L$3)</f>
        <v>0</v>
      </c>
      <c r="M42" s="24" t="n">
        <f aca="false">COUNTIF($B42:$E42,M$3)</f>
        <v>0</v>
      </c>
      <c r="N42" s="24" t="n">
        <f aca="false">COUNTIF($B42:$E42,N$3)</f>
        <v>0</v>
      </c>
      <c r="O42" s="24" t="n">
        <f aca="false">COUNTIF($B42:$E42,O$3)</f>
        <v>0</v>
      </c>
      <c r="P42" s="24" t="n">
        <f aca="false">COUNTIF($B42:$E42,P$3)</f>
        <v>0</v>
      </c>
      <c r="Q42" s="24" t="n">
        <f aca="false">COUNTIF($B42:$E42,Q$3)</f>
        <v>0</v>
      </c>
      <c r="R42" s="24" t="n">
        <f aca="false">COUNTIF($B42:$E42,R$3)</f>
        <v>0</v>
      </c>
      <c r="S42" s="24" t="n">
        <f aca="false">COUNTIF($B42:$E42,S$3)</f>
        <v>0</v>
      </c>
      <c r="T42" s="24" t="n">
        <f aca="false">COUNTIF($B42:$E42,T$3)</f>
        <v>0</v>
      </c>
      <c r="U42" s="24" t="n">
        <f aca="false">COUNTIF($B42:$E42,U$3)</f>
        <v>0</v>
      </c>
      <c r="V42" s="24" t="n">
        <f aca="false">COUNTIF($B42:$E42,V$3)</f>
        <v>0</v>
      </c>
      <c r="W42" s="24" t="n">
        <f aca="false">COUNTIF($B42:$E42,W$3)</f>
        <v>0</v>
      </c>
      <c r="X42" s="24" t="n">
        <f aca="false">COUNTIF($B42:$E42,X$3)</f>
        <v>0</v>
      </c>
      <c r="Y42" s="24" t="n">
        <f aca="false">COUNTIF($B42:$E42,Y$3)</f>
        <v>0</v>
      </c>
      <c r="Z42" s="24" t="n">
        <f aca="false">COUNTIF($B42:$E42,Z$3)</f>
        <v>0</v>
      </c>
      <c r="AA42" s="24" t="n">
        <f aca="false">COUNTIF($B42:$E42,AA$3)</f>
        <v>0</v>
      </c>
      <c r="AB42" s="24" t="n">
        <f aca="false">COUNTIF($B42:$E42,AB$3)</f>
        <v>0</v>
      </c>
    </row>
    <row r="43" customFormat="false" ht="15" hidden="false" customHeight="false" outlineLevel="0" collapsed="false">
      <c r="A43" s="24" t="n">
        <f aca="false">Input!A43</f>
        <v>39</v>
      </c>
      <c r="B43" s="24" t="str">
        <f aca="false">IF(Input!B43="","",IF(B$3&gt;Input!$H$4,"",IFERROR(MATCH(Input!B43,Input!$H$10:$H$29,0),"ERR")))</f>
        <v/>
      </c>
      <c r="C43" s="24" t="str">
        <f aca="false">IF(Input!C43="","",IF(C$3&gt;Input!$H$4,"",IFERROR(MATCH(Input!C43,Input!$H$10:$H$29,0),"ERR")))</f>
        <v/>
      </c>
      <c r="D43" s="24" t="str">
        <f aca="false">IF(Input!D43="","",IF(D$3&gt;Input!$H$4,"",IFERROR(MATCH(Input!D43,Input!$H$10:$H$29,0),"ERR")))</f>
        <v/>
      </c>
      <c r="E43" s="24" t="str">
        <f aca="false">IF(Input!E43="","",IF(E$3&gt;Input!$H$4,"",IFERROR(MATCH(Input!E43,Input!$H$10:$H$29,0),"ERR")))</f>
        <v/>
      </c>
      <c r="F43" s="24" t="n">
        <f aca="false">COUNT(B43:E43)</f>
        <v>0</v>
      </c>
      <c r="G43" s="24" t="n">
        <f aca="false">COUNTIF(B43:E43,"ERR")</f>
        <v>0</v>
      </c>
      <c r="H43" s="25" t="n">
        <f aca="false">IF(F43&gt;=2,1/(F43-1),0)</f>
        <v>0</v>
      </c>
      <c r="I43" s="24" t="n">
        <f aca="false">COUNTIF($B43:$E43,I$3)</f>
        <v>0</v>
      </c>
      <c r="J43" s="24" t="n">
        <f aca="false">COUNTIF($B43:$E43,J$3)</f>
        <v>0</v>
      </c>
      <c r="K43" s="24" t="n">
        <f aca="false">COUNTIF($B43:$E43,K$3)</f>
        <v>0</v>
      </c>
      <c r="L43" s="24" t="n">
        <f aca="false">COUNTIF($B43:$E43,L$3)</f>
        <v>0</v>
      </c>
      <c r="M43" s="24" t="n">
        <f aca="false">COUNTIF($B43:$E43,M$3)</f>
        <v>0</v>
      </c>
      <c r="N43" s="24" t="n">
        <f aca="false">COUNTIF($B43:$E43,N$3)</f>
        <v>0</v>
      </c>
      <c r="O43" s="24" t="n">
        <f aca="false">COUNTIF($B43:$E43,O$3)</f>
        <v>0</v>
      </c>
      <c r="P43" s="24" t="n">
        <f aca="false">COUNTIF($B43:$E43,P$3)</f>
        <v>0</v>
      </c>
      <c r="Q43" s="24" t="n">
        <f aca="false">COUNTIF($B43:$E43,Q$3)</f>
        <v>0</v>
      </c>
      <c r="R43" s="24" t="n">
        <f aca="false">COUNTIF($B43:$E43,R$3)</f>
        <v>0</v>
      </c>
      <c r="S43" s="24" t="n">
        <f aca="false">COUNTIF($B43:$E43,S$3)</f>
        <v>0</v>
      </c>
      <c r="T43" s="24" t="n">
        <f aca="false">COUNTIF($B43:$E43,T$3)</f>
        <v>0</v>
      </c>
      <c r="U43" s="24" t="n">
        <f aca="false">COUNTIF($B43:$E43,U$3)</f>
        <v>0</v>
      </c>
      <c r="V43" s="24" t="n">
        <f aca="false">COUNTIF($B43:$E43,V$3)</f>
        <v>0</v>
      </c>
      <c r="W43" s="24" t="n">
        <f aca="false">COUNTIF($B43:$E43,W$3)</f>
        <v>0</v>
      </c>
      <c r="X43" s="24" t="n">
        <f aca="false">COUNTIF($B43:$E43,X$3)</f>
        <v>0</v>
      </c>
      <c r="Y43" s="24" t="n">
        <f aca="false">COUNTIF($B43:$E43,Y$3)</f>
        <v>0</v>
      </c>
      <c r="Z43" s="24" t="n">
        <f aca="false">COUNTIF($B43:$E43,Z$3)</f>
        <v>0</v>
      </c>
      <c r="AA43" s="24" t="n">
        <f aca="false">COUNTIF($B43:$E43,AA$3)</f>
        <v>0</v>
      </c>
      <c r="AB43" s="24" t="n">
        <f aca="false">COUNTIF($B43:$E43,AB$3)</f>
        <v>0</v>
      </c>
    </row>
    <row r="44" customFormat="false" ht="15" hidden="false" customHeight="false" outlineLevel="0" collapsed="false">
      <c r="A44" s="24" t="n">
        <f aca="false">Input!A44</f>
        <v>40</v>
      </c>
      <c r="B44" s="24" t="str">
        <f aca="false">IF(Input!B44="","",IF(B$3&gt;Input!$H$4,"",IFERROR(MATCH(Input!B44,Input!$H$10:$H$29,0),"ERR")))</f>
        <v/>
      </c>
      <c r="C44" s="24" t="str">
        <f aca="false">IF(Input!C44="","",IF(C$3&gt;Input!$H$4,"",IFERROR(MATCH(Input!C44,Input!$H$10:$H$29,0),"ERR")))</f>
        <v/>
      </c>
      <c r="D44" s="24" t="str">
        <f aca="false">IF(Input!D44="","",IF(D$3&gt;Input!$H$4,"",IFERROR(MATCH(Input!D44,Input!$H$10:$H$29,0),"ERR")))</f>
        <v/>
      </c>
      <c r="E44" s="24" t="str">
        <f aca="false">IF(Input!E44="","",IF(E$3&gt;Input!$H$4,"",IFERROR(MATCH(Input!E44,Input!$H$10:$H$29,0),"ERR")))</f>
        <v/>
      </c>
      <c r="F44" s="24" t="n">
        <f aca="false">COUNT(B44:E44)</f>
        <v>0</v>
      </c>
      <c r="G44" s="24" t="n">
        <f aca="false">COUNTIF(B44:E44,"ERR")</f>
        <v>0</v>
      </c>
      <c r="H44" s="25" t="n">
        <f aca="false">IF(F44&gt;=2,1/(F44-1),0)</f>
        <v>0</v>
      </c>
      <c r="I44" s="24" t="n">
        <f aca="false">COUNTIF($B44:$E44,I$3)</f>
        <v>0</v>
      </c>
      <c r="J44" s="24" t="n">
        <f aca="false">COUNTIF($B44:$E44,J$3)</f>
        <v>0</v>
      </c>
      <c r="K44" s="24" t="n">
        <f aca="false">COUNTIF($B44:$E44,K$3)</f>
        <v>0</v>
      </c>
      <c r="L44" s="24" t="n">
        <f aca="false">COUNTIF($B44:$E44,L$3)</f>
        <v>0</v>
      </c>
      <c r="M44" s="24" t="n">
        <f aca="false">COUNTIF($B44:$E44,M$3)</f>
        <v>0</v>
      </c>
      <c r="N44" s="24" t="n">
        <f aca="false">COUNTIF($B44:$E44,N$3)</f>
        <v>0</v>
      </c>
      <c r="O44" s="24" t="n">
        <f aca="false">COUNTIF($B44:$E44,O$3)</f>
        <v>0</v>
      </c>
      <c r="P44" s="24" t="n">
        <f aca="false">COUNTIF($B44:$E44,P$3)</f>
        <v>0</v>
      </c>
      <c r="Q44" s="24" t="n">
        <f aca="false">COUNTIF($B44:$E44,Q$3)</f>
        <v>0</v>
      </c>
      <c r="R44" s="24" t="n">
        <f aca="false">COUNTIF($B44:$E44,R$3)</f>
        <v>0</v>
      </c>
      <c r="S44" s="24" t="n">
        <f aca="false">COUNTIF($B44:$E44,S$3)</f>
        <v>0</v>
      </c>
      <c r="T44" s="24" t="n">
        <f aca="false">COUNTIF($B44:$E44,T$3)</f>
        <v>0</v>
      </c>
      <c r="U44" s="24" t="n">
        <f aca="false">COUNTIF($B44:$E44,U$3)</f>
        <v>0</v>
      </c>
      <c r="V44" s="24" t="n">
        <f aca="false">COUNTIF($B44:$E44,V$3)</f>
        <v>0</v>
      </c>
      <c r="W44" s="24" t="n">
        <f aca="false">COUNTIF($B44:$E44,W$3)</f>
        <v>0</v>
      </c>
      <c r="X44" s="24" t="n">
        <f aca="false">COUNTIF($B44:$E44,X$3)</f>
        <v>0</v>
      </c>
      <c r="Y44" s="24" t="n">
        <f aca="false">COUNTIF($B44:$E44,Y$3)</f>
        <v>0</v>
      </c>
      <c r="Z44" s="24" t="n">
        <f aca="false">COUNTIF($B44:$E44,Z$3)</f>
        <v>0</v>
      </c>
      <c r="AA44" s="24" t="n">
        <f aca="false">COUNTIF($B44:$E44,AA$3)</f>
        <v>0</v>
      </c>
      <c r="AB44" s="24" t="n">
        <f aca="false">COUNTIF($B44:$E44,AB$3)</f>
        <v>0</v>
      </c>
    </row>
    <row r="45" customFormat="false" ht="15" hidden="false" customHeight="false" outlineLevel="0" collapsed="false">
      <c r="A45" s="24" t="n">
        <f aca="false">Input!A45</f>
        <v>41</v>
      </c>
      <c r="B45" s="24" t="str">
        <f aca="false">IF(Input!B45="","",IF(B$3&gt;Input!$H$4,"",IFERROR(MATCH(Input!B45,Input!$H$10:$H$29,0),"ERR")))</f>
        <v/>
      </c>
      <c r="C45" s="24" t="str">
        <f aca="false">IF(Input!C45="","",IF(C$3&gt;Input!$H$4,"",IFERROR(MATCH(Input!C45,Input!$H$10:$H$29,0),"ERR")))</f>
        <v/>
      </c>
      <c r="D45" s="24" t="str">
        <f aca="false">IF(Input!D45="","",IF(D$3&gt;Input!$H$4,"",IFERROR(MATCH(Input!D45,Input!$H$10:$H$29,0),"ERR")))</f>
        <v/>
      </c>
      <c r="E45" s="24" t="str">
        <f aca="false">IF(Input!E45="","",IF(E$3&gt;Input!$H$4,"",IFERROR(MATCH(Input!E45,Input!$H$10:$H$29,0),"ERR")))</f>
        <v/>
      </c>
      <c r="F45" s="24" t="n">
        <f aca="false">COUNT(B45:E45)</f>
        <v>0</v>
      </c>
      <c r="G45" s="24" t="n">
        <f aca="false">COUNTIF(B45:E45,"ERR")</f>
        <v>0</v>
      </c>
      <c r="H45" s="25" t="n">
        <f aca="false">IF(F45&gt;=2,1/(F45-1),0)</f>
        <v>0</v>
      </c>
      <c r="I45" s="24" t="n">
        <f aca="false">COUNTIF($B45:$E45,I$3)</f>
        <v>0</v>
      </c>
      <c r="J45" s="24" t="n">
        <f aca="false">COUNTIF($B45:$E45,J$3)</f>
        <v>0</v>
      </c>
      <c r="K45" s="24" t="n">
        <f aca="false">COUNTIF($B45:$E45,K$3)</f>
        <v>0</v>
      </c>
      <c r="L45" s="24" t="n">
        <f aca="false">COUNTIF($B45:$E45,L$3)</f>
        <v>0</v>
      </c>
      <c r="M45" s="24" t="n">
        <f aca="false">COUNTIF($B45:$E45,M$3)</f>
        <v>0</v>
      </c>
      <c r="N45" s="24" t="n">
        <f aca="false">COUNTIF($B45:$E45,N$3)</f>
        <v>0</v>
      </c>
      <c r="O45" s="24" t="n">
        <f aca="false">COUNTIF($B45:$E45,O$3)</f>
        <v>0</v>
      </c>
      <c r="P45" s="24" t="n">
        <f aca="false">COUNTIF($B45:$E45,P$3)</f>
        <v>0</v>
      </c>
      <c r="Q45" s="24" t="n">
        <f aca="false">COUNTIF($B45:$E45,Q$3)</f>
        <v>0</v>
      </c>
      <c r="R45" s="24" t="n">
        <f aca="false">COUNTIF($B45:$E45,R$3)</f>
        <v>0</v>
      </c>
      <c r="S45" s="24" t="n">
        <f aca="false">COUNTIF($B45:$E45,S$3)</f>
        <v>0</v>
      </c>
      <c r="T45" s="24" t="n">
        <f aca="false">COUNTIF($B45:$E45,T$3)</f>
        <v>0</v>
      </c>
      <c r="U45" s="24" t="n">
        <f aca="false">COUNTIF($B45:$E45,U$3)</f>
        <v>0</v>
      </c>
      <c r="V45" s="24" t="n">
        <f aca="false">COUNTIF($B45:$E45,V$3)</f>
        <v>0</v>
      </c>
      <c r="W45" s="24" t="n">
        <f aca="false">COUNTIF($B45:$E45,W$3)</f>
        <v>0</v>
      </c>
      <c r="X45" s="24" t="n">
        <f aca="false">COUNTIF($B45:$E45,X$3)</f>
        <v>0</v>
      </c>
      <c r="Y45" s="24" t="n">
        <f aca="false">COUNTIF($B45:$E45,Y$3)</f>
        <v>0</v>
      </c>
      <c r="Z45" s="24" t="n">
        <f aca="false">COUNTIF($B45:$E45,Z$3)</f>
        <v>0</v>
      </c>
      <c r="AA45" s="24" t="n">
        <f aca="false">COUNTIF($B45:$E45,AA$3)</f>
        <v>0</v>
      </c>
      <c r="AB45" s="24" t="n">
        <f aca="false">COUNTIF($B45:$E45,AB$3)</f>
        <v>0</v>
      </c>
    </row>
    <row r="46" customFormat="false" ht="15" hidden="false" customHeight="false" outlineLevel="0" collapsed="false">
      <c r="A46" s="24" t="n">
        <f aca="false">Input!A46</f>
        <v>42</v>
      </c>
      <c r="B46" s="24" t="str">
        <f aca="false">IF(Input!B46="","",IF(B$3&gt;Input!$H$4,"",IFERROR(MATCH(Input!B46,Input!$H$10:$H$29,0),"ERR")))</f>
        <v/>
      </c>
      <c r="C46" s="24" t="str">
        <f aca="false">IF(Input!C46="","",IF(C$3&gt;Input!$H$4,"",IFERROR(MATCH(Input!C46,Input!$H$10:$H$29,0),"ERR")))</f>
        <v/>
      </c>
      <c r="D46" s="24" t="str">
        <f aca="false">IF(Input!D46="","",IF(D$3&gt;Input!$H$4,"",IFERROR(MATCH(Input!D46,Input!$H$10:$H$29,0),"ERR")))</f>
        <v/>
      </c>
      <c r="E46" s="24" t="str">
        <f aca="false">IF(Input!E46="","",IF(E$3&gt;Input!$H$4,"",IFERROR(MATCH(Input!E46,Input!$H$10:$H$29,0),"ERR")))</f>
        <v/>
      </c>
      <c r="F46" s="24" t="n">
        <f aca="false">COUNT(B46:E46)</f>
        <v>0</v>
      </c>
      <c r="G46" s="24" t="n">
        <f aca="false">COUNTIF(B46:E46,"ERR")</f>
        <v>0</v>
      </c>
      <c r="H46" s="25" t="n">
        <f aca="false">IF(F46&gt;=2,1/(F46-1),0)</f>
        <v>0</v>
      </c>
      <c r="I46" s="24" t="n">
        <f aca="false">COUNTIF($B46:$E46,I$3)</f>
        <v>0</v>
      </c>
      <c r="J46" s="24" t="n">
        <f aca="false">COUNTIF($B46:$E46,J$3)</f>
        <v>0</v>
      </c>
      <c r="K46" s="24" t="n">
        <f aca="false">COUNTIF($B46:$E46,K$3)</f>
        <v>0</v>
      </c>
      <c r="L46" s="24" t="n">
        <f aca="false">COUNTIF($B46:$E46,L$3)</f>
        <v>0</v>
      </c>
      <c r="M46" s="24" t="n">
        <f aca="false">COUNTIF($B46:$E46,M$3)</f>
        <v>0</v>
      </c>
      <c r="N46" s="24" t="n">
        <f aca="false">COUNTIF($B46:$E46,N$3)</f>
        <v>0</v>
      </c>
      <c r="O46" s="24" t="n">
        <f aca="false">COUNTIF($B46:$E46,O$3)</f>
        <v>0</v>
      </c>
      <c r="P46" s="24" t="n">
        <f aca="false">COUNTIF($B46:$E46,P$3)</f>
        <v>0</v>
      </c>
      <c r="Q46" s="24" t="n">
        <f aca="false">COUNTIF($B46:$E46,Q$3)</f>
        <v>0</v>
      </c>
      <c r="R46" s="24" t="n">
        <f aca="false">COUNTIF($B46:$E46,R$3)</f>
        <v>0</v>
      </c>
      <c r="S46" s="24" t="n">
        <f aca="false">COUNTIF($B46:$E46,S$3)</f>
        <v>0</v>
      </c>
      <c r="T46" s="24" t="n">
        <f aca="false">COUNTIF($B46:$E46,T$3)</f>
        <v>0</v>
      </c>
      <c r="U46" s="24" t="n">
        <f aca="false">COUNTIF($B46:$E46,U$3)</f>
        <v>0</v>
      </c>
      <c r="V46" s="24" t="n">
        <f aca="false">COUNTIF($B46:$E46,V$3)</f>
        <v>0</v>
      </c>
      <c r="W46" s="24" t="n">
        <f aca="false">COUNTIF($B46:$E46,W$3)</f>
        <v>0</v>
      </c>
      <c r="X46" s="24" t="n">
        <f aca="false">COUNTIF($B46:$E46,X$3)</f>
        <v>0</v>
      </c>
      <c r="Y46" s="24" t="n">
        <f aca="false">COUNTIF($B46:$E46,Y$3)</f>
        <v>0</v>
      </c>
      <c r="Z46" s="24" t="n">
        <f aca="false">COUNTIF($B46:$E46,Z$3)</f>
        <v>0</v>
      </c>
      <c r="AA46" s="24" t="n">
        <f aca="false">COUNTIF($B46:$E46,AA$3)</f>
        <v>0</v>
      </c>
      <c r="AB46" s="24" t="n">
        <f aca="false">COUNTIF($B46:$E46,AB$3)</f>
        <v>0</v>
      </c>
    </row>
    <row r="47" customFormat="false" ht="15" hidden="false" customHeight="false" outlineLevel="0" collapsed="false">
      <c r="A47" s="24" t="n">
        <f aca="false">Input!A47</f>
        <v>43</v>
      </c>
      <c r="B47" s="24" t="str">
        <f aca="false">IF(Input!B47="","",IF(B$3&gt;Input!$H$4,"",IFERROR(MATCH(Input!B47,Input!$H$10:$H$29,0),"ERR")))</f>
        <v/>
      </c>
      <c r="C47" s="24" t="str">
        <f aca="false">IF(Input!C47="","",IF(C$3&gt;Input!$H$4,"",IFERROR(MATCH(Input!C47,Input!$H$10:$H$29,0),"ERR")))</f>
        <v/>
      </c>
      <c r="D47" s="24" t="str">
        <f aca="false">IF(Input!D47="","",IF(D$3&gt;Input!$H$4,"",IFERROR(MATCH(Input!D47,Input!$H$10:$H$29,0),"ERR")))</f>
        <v/>
      </c>
      <c r="E47" s="24" t="str">
        <f aca="false">IF(Input!E47="","",IF(E$3&gt;Input!$H$4,"",IFERROR(MATCH(Input!E47,Input!$H$10:$H$29,0),"ERR")))</f>
        <v/>
      </c>
      <c r="F47" s="24" t="n">
        <f aca="false">COUNT(B47:E47)</f>
        <v>0</v>
      </c>
      <c r="G47" s="24" t="n">
        <f aca="false">COUNTIF(B47:E47,"ERR")</f>
        <v>0</v>
      </c>
      <c r="H47" s="25" t="n">
        <f aca="false">IF(F47&gt;=2,1/(F47-1),0)</f>
        <v>0</v>
      </c>
      <c r="I47" s="24" t="n">
        <f aca="false">COUNTIF($B47:$E47,I$3)</f>
        <v>0</v>
      </c>
      <c r="J47" s="24" t="n">
        <f aca="false">COUNTIF($B47:$E47,J$3)</f>
        <v>0</v>
      </c>
      <c r="K47" s="24" t="n">
        <f aca="false">COUNTIF($B47:$E47,K$3)</f>
        <v>0</v>
      </c>
      <c r="L47" s="24" t="n">
        <f aca="false">COUNTIF($B47:$E47,L$3)</f>
        <v>0</v>
      </c>
      <c r="M47" s="24" t="n">
        <f aca="false">COUNTIF($B47:$E47,M$3)</f>
        <v>0</v>
      </c>
      <c r="N47" s="24" t="n">
        <f aca="false">COUNTIF($B47:$E47,N$3)</f>
        <v>0</v>
      </c>
      <c r="O47" s="24" t="n">
        <f aca="false">COUNTIF($B47:$E47,O$3)</f>
        <v>0</v>
      </c>
      <c r="P47" s="24" t="n">
        <f aca="false">COUNTIF($B47:$E47,P$3)</f>
        <v>0</v>
      </c>
      <c r="Q47" s="24" t="n">
        <f aca="false">COUNTIF($B47:$E47,Q$3)</f>
        <v>0</v>
      </c>
      <c r="R47" s="24" t="n">
        <f aca="false">COUNTIF($B47:$E47,R$3)</f>
        <v>0</v>
      </c>
      <c r="S47" s="24" t="n">
        <f aca="false">COUNTIF($B47:$E47,S$3)</f>
        <v>0</v>
      </c>
      <c r="T47" s="24" t="n">
        <f aca="false">COUNTIF($B47:$E47,T$3)</f>
        <v>0</v>
      </c>
      <c r="U47" s="24" t="n">
        <f aca="false">COUNTIF($B47:$E47,U$3)</f>
        <v>0</v>
      </c>
      <c r="V47" s="24" t="n">
        <f aca="false">COUNTIF($B47:$E47,V$3)</f>
        <v>0</v>
      </c>
      <c r="W47" s="24" t="n">
        <f aca="false">COUNTIF($B47:$E47,W$3)</f>
        <v>0</v>
      </c>
      <c r="X47" s="24" t="n">
        <f aca="false">COUNTIF($B47:$E47,X$3)</f>
        <v>0</v>
      </c>
      <c r="Y47" s="24" t="n">
        <f aca="false">COUNTIF($B47:$E47,Y$3)</f>
        <v>0</v>
      </c>
      <c r="Z47" s="24" t="n">
        <f aca="false">COUNTIF($B47:$E47,Z$3)</f>
        <v>0</v>
      </c>
      <c r="AA47" s="24" t="n">
        <f aca="false">COUNTIF($B47:$E47,AA$3)</f>
        <v>0</v>
      </c>
      <c r="AB47" s="24" t="n">
        <f aca="false">COUNTIF($B47:$E47,AB$3)</f>
        <v>0</v>
      </c>
    </row>
    <row r="48" customFormat="false" ht="15" hidden="false" customHeight="false" outlineLevel="0" collapsed="false">
      <c r="A48" s="24" t="n">
        <f aca="false">Input!A48</f>
        <v>44</v>
      </c>
      <c r="B48" s="24" t="str">
        <f aca="false">IF(Input!B48="","",IF(B$3&gt;Input!$H$4,"",IFERROR(MATCH(Input!B48,Input!$H$10:$H$29,0),"ERR")))</f>
        <v/>
      </c>
      <c r="C48" s="24" t="str">
        <f aca="false">IF(Input!C48="","",IF(C$3&gt;Input!$H$4,"",IFERROR(MATCH(Input!C48,Input!$H$10:$H$29,0),"ERR")))</f>
        <v/>
      </c>
      <c r="D48" s="24" t="str">
        <f aca="false">IF(Input!D48="","",IF(D$3&gt;Input!$H$4,"",IFERROR(MATCH(Input!D48,Input!$H$10:$H$29,0),"ERR")))</f>
        <v/>
      </c>
      <c r="E48" s="24" t="str">
        <f aca="false">IF(Input!E48="","",IF(E$3&gt;Input!$H$4,"",IFERROR(MATCH(Input!E48,Input!$H$10:$H$29,0),"ERR")))</f>
        <v/>
      </c>
      <c r="F48" s="24" t="n">
        <f aca="false">COUNT(B48:E48)</f>
        <v>0</v>
      </c>
      <c r="G48" s="24" t="n">
        <f aca="false">COUNTIF(B48:E48,"ERR")</f>
        <v>0</v>
      </c>
      <c r="H48" s="25" t="n">
        <f aca="false">IF(F48&gt;=2,1/(F48-1),0)</f>
        <v>0</v>
      </c>
      <c r="I48" s="24" t="n">
        <f aca="false">COUNTIF($B48:$E48,I$3)</f>
        <v>0</v>
      </c>
      <c r="J48" s="24" t="n">
        <f aca="false">COUNTIF($B48:$E48,J$3)</f>
        <v>0</v>
      </c>
      <c r="K48" s="24" t="n">
        <f aca="false">COUNTIF($B48:$E48,K$3)</f>
        <v>0</v>
      </c>
      <c r="L48" s="24" t="n">
        <f aca="false">COUNTIF($B48:$E48,L$3)</f>
        <v>0</v>
      </c>
      <c r="M48" s="24" t="n">
        <f aca="false">COUNTIF($B48:$E48,M$3)</f>
        <v>0</v>
      </c>
      <c r="N48" s="24" t="n">
        <f aca="false">COUNTIF($B48:$E48,N$3)</f>
        <v>0</v>
      </c>
      <c r="O48" s="24" t="n">
        <f aca="false">COUNTIF($B48:$E48,O$3)</f>
        <v>0</v>
      </c>
      <c r="P48" s="24" t="n">
        <f aca="false">COUNTIF($B48:$E48,P$3)</f>
        <v>0</v>
      </c>
      <c r="Q48" s="24" t="n">
        <f aca="false">COUNTIF($B48:$E48,Q$3)</f>
        <v>0</v>
      </c>
      <c r="R48" s="24" t="n">
        <f aca="false">COUNTIF($B48:$E48,R$3)</f>
        <v>0</v>
      </c>
      <c r="S48" s="24" t="n">
        <f aca="false">COUNTIF($B48:$E48,S$3)</f>
        <v>0</v>
      </c>
      <c r="T48" s="24" t="n">
        <f aca="false">COUNTIF($B48:$E48,T$3)</f>
        <v>0</v>
      </c>
      <c r="U48" s="24" t="n">
        <f aca="false">COUNTIF($B48:$E48,U$3)</f>
        <v>0</v>
      </c>
      <c r="V48" s="24" t="n">
        <f aca="false">COUNTIF($B48:$E48,V$3)</f>
        <v>0</v>
      </c>
      <c r="W48" s="24" t="n">
        <f aca="false">COUNTIF($B48:$E48,W$3)</f>
        <v>0</v>
      </c>
      <c r="X48" s="24" t="n">
        <f aca="false">COUNTIF($B48:$E48,X$3)</f>
        <v>0</v>
      </c>
      <c r="Y48" s="24" t="n">
        <f aca="false">COUNTIF($B48:$E48,Y$3)</f>
        <v>0</v>
      </c>
      <c r="Z48" s="24" t="n">
        <f aca="false">COUNTIF($B48:$E48,Z$3)</f>
        <v>0</v>
      </c>
      <c r="AA48" s="24" t="n">
        <f aca="false">COUNTIF($B48:$E48,AA$3)</f>
        <v>0</v>
      </c>
      <c r="AB48" s="24" t="n">
        <f aca="false">COUNTIF($B48:$E48,AB$3)</f>
        <v>0</v>
      </c>
    </row>
    <row r="49" customFormat="false" ht="15" hidden="false" customHeight="false" outlineLevel="0" collapsed="false">
      <c r="A49" s="24" t="n">
        <f aca="false">Input!A49</f>
        <v>45</v>
      </c>
      <c r="B49" s="24" t="str">
        <f aca="false">IF(Input!B49="","",IF(B$3&gt;Input!$H$4,"",IFERROR(MATCH(Input!B49,Input!$H$10:$H$29,0),"ERR")))</f>
        <v/>
      </c>
      <c r="C49" s="24" t="str">
        <f aca="false">IF(Input!C49="","",IF(C$3&gt;Input!$H$4,"",IFERROR(MATCH(Input!C49,Input!$H$10:$H$29,0),"ERR")))</f>
        <v/>
      </c>
      <c r="D49" s="24" t="str">
        <f aca="false">IF(Input!D49="","",IF(D$3&gt;Input!$H$4,"",IFERROR(MATCH(Input!D49,Input!$H$10:$H$29,0),"ERR")))</f>
        <v/>
      </c>
      <c r="E49" s="24" t="str">
        <f aca="false">IF(Input!E49="","",IF(E$3&gt;Input!$H$4,"",IFERROR(MATCH(Input!E49,Input!$H$10:$H$29,0),"ERR")))</f>
        <v/>
      </c>
      <c r="F49" s="24" t="n">
        <f aca="false">COUNT(B49:E49)</f>
        <v>0</v>
      </c>
      <c r="G49" s="24" t="n">
        <f aca="false">COUNTIF(B49:E49,"ERR")</f>
        <v>0</v>
      </c>
      <c r="H49" s="25" t="n">
        <f aca="false">IF(F49&gt;=2,1/(F49-1),0)</f>
        <v>0</v>
      </c>
      <c r="I49" s="24" t="n">
        <f aca="false">COUNTIF($B49:$E49,I$3)</f>
        <v>0</v>
      </c>
      <c r="J49" s="24" t="n">
        <f aca="false">COUNTIF($B49:$E49,J$3)</f>
        <v>0</v>
      </c>
      <c r="K49" s="24" t="n">
        <f aca="false">COUNTIF($B49:$E49,K$3)</f>
        <v>0</v>
      </c>
      <c r="L49" s="24" t="n">
        <f aca="false">COUNTIF($B49:$E49,L$3)</f>
        <v>0</v>
      </c>
      <c r="M49" s="24" t="n">
        <f aca="false">COUNTIF($B49:$E49,M$3)</f>
        <v>0</v>
      </c>
      <c r="N49" s="24" t="n">
        <f aca="false">COUNTIF($B49:$E49,N$3)</f>
        <v>0</v>
      </c>
      <c r="O49" s="24" t="n">
        <f aca="false">COUNTIF($B49:$E49,O$3)</f>
        <v>0</v>
      </c>
      <c r="P49" s="24" t="n">
        <f aca="false">COUNTIF($B49:$E49,P$3)</f>
        <v>0</v>
      </c>
      <c r="Q49" s="24" t="n">
        <f aca="false">COUNTIF($B49:$E49,Q$3)</f>
        <v>0</v>
      </c>
      <c r="R49" s="24" t="n">
        <f aca="false">COUNTIF($B49:$E49,R$3)</f>
        <v>0</v>
      </c>
      <c r="S49" s="24" t="n">
        <f aca="false">COUNTIF($B49:$E49,S$3)</f>
        <v>0</v>
      </c>
      <c r="T49" s="24" t="n">
        <f aca="false">COUNTIF($B49:$E49,T$3)</f>
        <v>0</v>
      </c>
      <c r="U49" s="24" t="n">
        <f aca="false">COUNTIF($B49:$E49,U$3)</f>
        <v>0</v>
      </c>
      <c r="V49" s="24" t="n">
        <f aca="false">COUNTIF($B49:$E49,V$3)</f>
        <v>0</v>
      </c>
      <c r="W49" s="24" t="n">
        <f aca="false">COUNTIF($B49:$E49,W$3)</f>
        <v>0</v>
      </c>
      <c r="X49" s="24" t="n">
        <f aca="false">COUNTIF($B49:$E49,X$3)</f>
        <v>0</v>
      </c>
      <c r="Y49" s="24" t="n">
        <f aca="false">COUNTIF($B49:$E49,Y$3)</f>
        <v>0</v>
      </c>
      <c r="Z49" s="24" t="n">
        <f aca="false">COUNTIF($B49:$E49,Z$3)</f>
        <v>0</v>
      </c>
      <c r="AA49" s="24" t="n">
        <f aca="false">COUNTIF($B49:$E49,AA$3)</f>
        <v>0</v>
      </c>
      <c r="AB49" s="24" t="n">
        <f aca="false">COUNTIF($B49:$E49,AB$3)</f>
        <v>0</v>
      </c>
    </row>
    <row r="50" customFormat="false" ht="15" hidden="false" customHeight="false" outlineLevel="0" collapsed="false">
      <c r="A50" s="24" t="n">
        <f aca="false">Input!A50</f>
        <v>46</v>
      </c>
      <c r="B50" s="24" t="str">
        <f aca="false">IF(Input!B50="","",IF(B$3&gt;Input!$H$4,"",IFERROR(MATCH(Input!B50,Input!$H$10:$H$29,0),"ERR")))</f>
        <v/>
      </c>
      <c r="C50" s="24" t="str">
        <f aca="false">IF(Input!C50="","",IF(C$3&gt;Input!$H$4,"",IFERROR(MATCH(Input!C50,Input!$H$10:$H$29,0),"ERR")))</f>
        <v/>
      </c>
      <c r="D50" s="24" t="str">
        <f aca="false">IF(Input!D50="","",IF(D$3&gt;Input!$H$4,"",IFERROR(MATCH(Input!D50,Input!$H$10:$H$29,0),"ERR")))</f>
        <v/>
      </c>
      <c r="E50" s="24" t="str">
        <f aca="false">IF(Input!E50="","",IF(E$3&gt;Input!$H$4,"",IFERROR(MATCH(Input!E50,Input!$H$10:$H$29,0),"ERR")))</f>
        <v/>
      </c>
      <c r="F50" s="24" t="n">
        <f aca="false">COUNT(B50:E50)</f>
        <v>0</v>
      </c>
      <c r="G50" s="24" t="n">
        <f aca="false">COUNTIF(B50:E50,"ERR")</f>
        <v>0</v>
      </c>
      <c r="H50" s="25" t="n">
        <f aca="false">IF(F50&gt;=2,1/(F50-1),0)</f>
        <v>0</v>
      </c>
      <c r="I50" s="24" t="n">
        <f aca="false">COUNTIF($B50:$E50,I$3)</f>
        <v>0</v>
      </c>
      <c r="J50" s="24" t="n">
        <f aca="false">COUNTIF($B50:$E50,J$3)</f>
        <v>0</v>
      </c>
      <c r="K50" s="24" t="n">
        <f aca="false">COUNTIF($B50:$E50,K$3)</f>
        <v>0</v>
      </c>
      <c r="L50" s="24" t="n">
        <f aca="false">COUNTIF($B50:$E50,L$3)</f>
        <v>0</v>
      </c>
      <c r="M50" s="24" t="n">
        <f aca="false">COUNTIF($B50:$E50,M$3)</f>
        <v>0</v>
      </c>
      <c r="N50" s="24" t="n">
        <f aca="false">COUNTIF($B50:$E50,N$3)</f>
        <v>0</v>
      </c>
      <c r="O50" s="24" t="n">
        <f aca="false">COUNTIF($B50:$E50,O$3)</f>
        <v>0</v>
      </c>
      <c r="P50" s="24" t="n">
        <f aca="false">COUNTIF($B50:$E50,P$3)</f>
        <v>0</v>
      </c>
      <c r="Q50" s="24" t="n">
        <f aca="false">COUNTIF($B50:$E50,Q$3)</f>
        <v>0</v>
      </c>
      <c r="R50" s="24" t="n">
        <f aca="false">COUNTIF($B50:$E50,R$3)</f>
        <v>0</v>
      </c>
      <c r="S50" s="24" t="n">
        <f aca="false">COUNTIF($B50:$E50,S$3)</f>
        <v>0</v>
      </c>
      <c r="T50" s="24" t="n">
        <f aca="false">COUNTIF($B50:$E50,T$3)</f>
        <v>0</v>
      </c>
      <c r="U50" s="24" t="n">
        <f aca="false">COUNTIF($B50:$E50,U$3)</f>
        <v>0</v>
      </c>
      <c r="V50" s="24" t="n">
        <f aca="false">COUNTIF($B50:$E50,V$3)</f>
        <v>0</v>
      </c>
      <c r="W50" s="24" t="n">
        <f aca="false">COUNTIF($B50:$E50,W$3)</f>
        <v>0</v>
      </c>
      <c r="X50" s="24" t="n">
        <f aca="false">COUNTIF($B50:$E50,X$3)</f>
        <v>0</v>
      </c>
      <c r="Y50" s="24" t="n">
        <f aca="false">COUNTIF($B50:$E50,Y$3)</f>
        <v>0</v>
      </c>
      <c r="Z50" s="24" t="n">
        <f aca="false">COUNTIF($B50:$E50,Z$3)</f>
        <v>0</v>
      </c>
      <c r="AA50" s="24" t="n">
        <f aca="false">COUNTIF($B50:$E50,AA$3)</f>
        <v>0</v>
      </c>
      <c r="AB50" s="24" t="n">
        <f aca="false">COUNTIF($B50:$E50,AB$3)</f>
        <v>0</v>
      </c>
    </row>
    <row r="51" customFormat="false" ht="15" hidden="false" customHeight="false" outlineLevel="0" collapsed="false">
      <c r="A51" s="24" t="n">
        <f aca="false">Input!A51</f>
        <v>47</v>
      </c>
      <c r="B51" s="24" t="str">
        <f aca="false">IF(Input!B51="","",IF(B$3&gt;Input!$H$4,"",IFERROR(MATCH(Input!B51,Input!$H$10:$H$29,0),"ERR")))</f>
        <v/>
      </c>
      <c r="C51" s="24" t="str">
        <f aca="false">IF(Input!C51="","",IF(C$3&gt;Input!$H$4,"",IFERROR(MATCH(Input!C51,Input!$H$10:$H$29,0),"ERR")))</f>
        <v/>
      </c>
      <c r="D51" s="24" t="str">
        <f aca="false">IF(Input!D51="","",IF(D$3&gt;Input!$H$4,"",IFERROR(MATCH(Input!D51,Input!$H$10:$H$29,0),"ERR")))</f>
        <v/>
      </c>
      <c r="E51" s="24" t="str">
        <f aca="false">IF(Input!E51="","",IF(E$3&gt;Input!$H$4,"",IFERROR(MATCH(Input!E51,Input!$H$10:$H$29,0),"ERR")))</f>
        <v/>
      </c>
      <c r="F51" s="24" t="n">
        <f aca="false">COUNT(B51:E51)</f>
        <v>0</v>
      </c>
      <c r="G51" s="24" t="n">
        <f aca="false">COUNTIF(B51:E51,"ERR")</f>
        <v>0</v>
      </c>
      <c r="H51" s="25" t="n">
        <f aca="false">IF(F51&gt;=2,1/(F51-1),0)</f>
        <v>0</v>
      </c>
      <c r="I51" s="24" t="n">
        <f aca="false">COUNTIF($B51:$E51,I$3)</f>
        <v>0</v>
      </c>
      <c r="J51" s="24" t="n">
        <f aca="false">COUNTIF($B51:$E51,J$3)</f>
        <v>0</v>
      </c>
      <c r="K51" s="24" t="n">
        <f aca="false">COUNTIF($B51:$E51,K$3)</f>
        <v>0</v>
      </c>
      <c r="L51" s="24" t="n">
        <f aca="false">COUNTIF($B51:$E51,L$3)</f>
        <v>0</v>
      </c>
      <c r="M51" s="24" t="n">
        <f aca="false">COUNTIF($B51:$E51,M$3)</f>
        <v>0</v>
      </c>
      <c r="N51" s="24" t="n">
        <f aca="false">COUNTIF($B51:$E51,N$3)</f>
        <v>0</v>
      </c>
      <c r="O51" s="24" t="n">
        <f aca="false">COUNTIF($B51:$E51,O$3)</f>
        <v>0</v>
      </c>
      <c r="P51" s="24" t="n">
        <f aca="false">COUNTIF($B51:$E51,P$3)</f>
        <v>0</v>
      </c>
      <c r="Q51" s="24" t="n">
        <f aca="false">COUNTIF($B51:$E51,Q$3)</f>
        <v>0</v>
      </c>
      <c r="R51" s="24" t="n">
        <f aca="false">COUNTIF($B51:$E51,R$3)</f>
        <v>0</v>
      </c>
      <c r="S51" s="24" t="n">
        <f aca="false">COUNTIF($B51:$E51,S$3)</f>
        <v>0</v>
      </c>
      <c r="T51" s="24" t="n">
        <f aca="false">COUNTIF($B51:$E51,T$3)</f>
        <v>0</v>
      </c>
      <c r="U51" s="24" t="n">
        <f aca="false">COUNTIF($B51:$E51,U$3)</f>
        <v>0</v>
      </c>
      <c r="V51" s="24" t="n">
        <f aca="false">COUNTIF($B51:$E51,V$3)</f>
        <v>0</v>
      </c>
      <c r="W51" s="24" t="n">
        <f aca="false">COUNTIF($B51:$E51,W$3)</f>
        <v>0</v>
      </c>
      <c r="X51" s="24" t="n">
        <f aca="false">COUNTIF($B51:$E51,X$3)</f>
        <v>0</v>
      </c>
      <c r="Y51" s="24" t="n">
        <f aca="false">COUNTIF($B51:$E51,Y$3)</f>
        <v>0</v>
      </c>
      <c r="Z51" s="24" t="n">
        <f aca="false">COUNTIF($B51:$E51,Z$3)</f>
        <v>0</v>
      </c>
      <c r="AA51" s="24" t="n">
        <f aca="false">COUNTIF($B51:$E51,AA$3)</f>
        <v>0</v>
      </c>
      <c r="AB51" s="24" t="n">
        <f aca="false">COUNTIF($B51:$E51,AB$3)</f>
        <v>0</v>
      </c>
    </row>
    <row r="52" customFormat="false" ht="15" hidden="false" customHeight="false" outlineLevel="0" collapsed="false">
      <c r="A52" s="24" t="n">
        <f aca="false">Input!A52</f>
        <v>48</v>
      </c>
      <c r="B52" s="24" t="str">
        <f aca="false">IF(Input!B52="","",IF(B$3&gt;Input!$H$4,"",IFERROR(MATCH(Input!B52,Input!$H$10:$H$29,0),"ERR")))</f>
        <v/>
      </c>
      <c r="C52" s="24" t="str">
        <f aca="false">IF(Input!C52="","",IF(C$3&gt;Input!$H$4,"",IFERROR(MATCH(Input!C52,Input!$H$10:$H$29,0),"ERR")))</f>
        <v/>
      </c>
      <c r="D52" s="24" t="str">
        <f aca="false">IF(Input!D52="","",IF(D$3&gt;Input!$H$4,"",IFERROR(MATCH(Input!D52,Input!$H$10:$H$29,0),"ERR")))</f>
        <v/>
      </c>
      <c r="E52" s="24" t="str">
        <f aca="false">IF(Input!E52="","",IF(E$3&gt;Input!$H$4,"",IFERROR(MATCH(Input!E52,Input!$H$10:$H$29,0),"ERR")))</f>
        <v/>
      </c>
      <c r="F52" s="24" t="n">
        <f aca="false">COUNT(B52:E52)</f>
        <v>0</v>
      </c>
      <c r="G52" s="24" t="n">
        <f aca="false">COUNTIF(B52:E52,"ERR")</f>
        <v>0</v>
      </c>
      <c r="H52" s="25" t="n">
        <f aca="false">IF(F52&gt;=2,1/(F52-1),0)</f>
        <v>0</v>
      </c>
      <c r="I52" s="24" t="n">
        <f aca="false">COUNTIF($B52:$E52,I$3)</f>
        <v>0</v>
      </c>
      <c r="J52" s="24" t="n">
        <f aca="false">COUNTIF($B52:$E52,J$3)</f>
        <v>0</v>
      </c>
      <c r="K52" s="24" t="n">
        <f aca="false">COUNTIF($B52:$E52,K$3)</f>
        <v>0</v>
      </c>
      <c r="L52" s="24" t="n">
        <f aca="false">COUNTIF($B52:$E52,L$3)</f>
        <v>0</v>
      </c>
      <c r="M52" s="24" t="n">
        <f aca="false">COUNTIF($B52:$E52,M$3)</f>
        <v>0</v>
      </c>
      <c r="N52" s="24" t="n">
        <f aca="false">COUNTIF($B52:$E52,N$3)</f>
        <v>0</v>
      </c>
      <c r="O52" s="24" t="n">
        <f aca="false">COUNTIF($B52:$E52,O$3)</f>
        <v>0</v>
      </c>
      <c r="P52" s="24" t="n">
        <f aca="false">COUNTIF($B52:$E52,P$3)</f>
        <v>0</v>
      </c>
      <c r="Q52" s="24" t="n">
        <f aca="false">COUNTIF($B52:$E52,Q$3)</f>
        <v>0</v>
      </c>
      <c r="R52" s="24" t="n">
        <f aca="false">COUNTIF($B52:$E52,R$3)</f>
        <v>0</v>
      </c>
      <c r="S52" s="24" t="n">
        <f aca="false">COUNTIF($B52:$E52,S$3)</f>
        <v>0</v>
      </c>
      <c r="T52" s="24" t="n">
        <f aca="false">COUNTIF($B52:$E52,T$3)</f>
        <v>0</v>
      </c>
      <c r="U52" s="24" t="n">
        <f aca="false">COUNTIF($B52:$E52,U$3)</f>
        <v>0</v>
      </c>
      <c r="V52" s="24" t="n">
        <f aca="false">COUNTIF($B52:$E52,V$3)</f>
        <v>0</v>
      </c>
      <c r="W52" s="24" t="n">
        <f aca="false">COUNTIF($B52:$E52,W$3)</f>
        <v>0</v>
      </c>
      <c r="X52" s="24" t="n">
        <f aca="false">COUNTIF($B52:$E52,X$3)</f>
        <v>0</v>
      </c>
      <c r="Y52" s="24" t="n">
        <f aca="false">COUNTIF($B52:$E52,Y$3)</f>
        <v>0</v>
      </c>
      <c r="Z52" s="24" t="n">
        <f aca="false">COUNTIF($B52:$E52,Z$3)</f>
        <v>0</v>
      </c>
      <c r="AA52" s="24" t="n">
        <f aca="false">COUNTIF($B52:$E52,AA$3)</f>
        <v>0</v>
      </c>
      <c r="AB52" s="24" t="n">
        <f aca="false">COUNTIF($B52:$E52,AB$3)</f>
        <v>0</v>
      </c>
    </row>
    <row r="53" customFormat="false" ht="15" hidden="false" customHeight="false" outlineLevel="0" collapsed="false">
      <c r="A53" s="24" t="n">
        <f aca="false">Input!A53</f>
        <v>49</v>
      </c>
      <c r="B53" s="24" t="str">
        <f aca="false">IF(Input!B53="","",IF(B$3&gt;Input!$H$4,"",IFERROR(MATCH(Input!B53,Input!$H$10:$H$29,0),"ERR")))</f>
        <v/>
      </c>
      <c r="C53" s="24" t="str">
        <f aca="false">IF(Input!C53="","",IF(C$3&gt;Input!$H$4,"",IFERROR(MATCH(Input!C53,Input!$H$10:$H$29,0),"ERR")))</f>
        <v/>
      </c>
      <c r="D53" s="24" t="str">
        <f aca="false">IF(Input!D53="","",IF(D$3&gt;Input!$H$4,"",IFERROR(MATCH(Input!D53,Input!$H$10:$H$29,0),"ERR")))</f>
        <v/>
      </c>
      <c r="E53" s="24" t="str">
        <f aca="false">IF(Input!E53="","",IF(E$3&gt;Input!$H$4,"",IFERROR(MATCH(Input!E53,Input!$H$10:$H$29,0),"ERR")))</f>
        <v/>
      </c>
      <c r="F53" s="24" t="n">
        <f aca="false">COUNT(B53:E53)</f>
        <v>0</v>
      </c>
      <c r="G53" s="24" t="n">
        <f aca="false">COUNTIF(B53:E53,"ERR")</f>
        <v>0</v>
      </c>
      <c r="H53" s="25" t="n">
        <f aca="false">IF(F53&gt;=2,1/(F53-1),0)</f>
        <v>0</v>
      </c>
      <c r="I53" s="24" t="n">
        <f aca="false">COUNTIF($B53:$E53,I$3)</f>
        <v>0</v>
      </c>
      <c r="J53" s="24" t="n">
        <f aca="false">COUNTIF($B53:$E53,J$3)</f>
        <v>0</v>
      </c>
      <c r="K53" s="24" t="n">
        <f aca="false">COUNTIF($B53:$E53,K$3)</f>
        <v>0</v>
      </c>
      <c r="L53" s="24" t="n">
        <f aca="false">COUNTIF($B53:$E53,L$3)</f>
        <v>0</v>
      </c>
      <c r="M53" s="24" t="n">
        <f aca="false">COUNTIF($B53:$E53,M$3)</f>
        <v>0</v>
      </c>
      <c r="N53" s="24" t="n">
        <f aca="false">COUNTIF($B53:$E53,N$3)</f>
        <v>0</v>
      </c>
      <c r="O53" s="24" t="n">
        <f aca="false">COUNTIF($B53:$E53,O$3)</f>
        <v>0</v>
      </c>
      <c r="P53" s="24" t="n">
        <f aca="false">COUNTIF($B53:$E53,P$3)</f>
        <v>0</v>
      </c>
      <c r="Q53" s="24" t="n">
        <f aca="false">COUNTIF($B53:$E53,Q$3)</f>
        <v>0</v>
      </c>
      <c r="R53" s="24" t="n">
        <f aca="false">COUNTIF($B53:$E53,R$3)</f>
        <v>0</v>
      </c>
      <c r="S53" s="24" t="n">
        <f aca="false">COUNTIF($B53:$E53,S$3)</f>
        <v>0</v>
      </c>
      <c r="T53" s="24" t="n">
        <f aca="false">COUNTIF($B53:$E53,T$3)</f>
        <v>0</v>
      </c>
      <c r="U53" s="24" t="n">
        <f aca="false">COUNTIF($B53:$E53,U$3)</f>
        <v>0</v>
      </c>
      <c r="V53" s="24" t="n">
        <f aca="false">COUNTIF($B53:$E53,V$3)</f>
        <v>0</v>
      </c>
      <c r="W53" s="24" t="n">
        <f aca="false">COUNTIF($B53:$E53,W$3)</f>
        <v>0</v>
      </c>
      <c r="X53" s="24" t="n">
        <f aca="false">COUNTIF($B53:$E53,X$3)</f>
        <v>0</v>
      </c>
      <c r="Y53" s="24" t="n">
        <f aca="false">COUNTIF($B53:$E53,Y$3)</f>
        <v>0</v>
      </c>
      <c r="Z53" s="24" t="n">
        <f aca="false">COUNTIF($B53:$E53,Z$3)</f>
        <v>0</v>
      </c>
      <c r="AA53" s="24" t="n">
        <f aca="false">COUNTIF($B53:$E53,AA$3)</f>
        <v>0</v>
      </c>
      <c r="AB53" s="24" t="n">
        <f aca="false">COUNTIF($B53:$E53,AB$3)</f>
        <v>0</v>
      </c>
    </row>
    <row r="54" customFormat="false" ht="15" hidden="false" customHeight="false" outlineLevel="0" collapsed="false">
      <c r="A54" s="24" t="n">
        <f aca="false">Input!A54</f>
        <v>50</v>
      </c>
      <c r="B54" s="24" t="str">
        <f aca="false">IF(Input!B54="","",IF(B$3&gt;Input!$H$4,"",IFERROR(MATCH(Input!B54,Input!$H$10:$H$29,0),"ERR")))</f>
        <v/>
      </c>
      <c r="C54" s="24" t="str">
        <f aca="false">IF(Input!C54="","",IF(C$3&gt;Input!$H$4,"",IFERROR(MATCH(Input!C54,Input!$H$10:$H$29,0),"ERR")))</f>
        <v/>
      </c>
      <c r="D54" s="24" t="str">
        <f aca="false">IF(Input!D54="","",IF(D$3&gt;Input!$H$4,"",IFERROR(MATCH(Input!D54,Input!$H$10:$H$29,0),"ERR")))</f>
        <v/>
      </c>
      <c r="E54" s="24" t="str">
        <f aca="false">IF(Input!E54="","",IF(E$3&gt;Input!$H$4,"",IFERROR(MATCH(Input!E54,Input!$H$10:$H$29,0),"ERR")))</f>
        <v/>
      </c>
      <c r="F54" s="24" t="n">
        <f aca="false">COUNT(B54:E54)</f>
        <v>0</v>
      </c>
      <c r="G54" s="24" t="n">
        <f aca="false">COUNTIF(B54:E54,"ERR")</f>
        <v>0</v>
      </c>
      <c r="H54" s="25" t="n">
        <f aca="false">IF(F54&gt;=2,1/(F54-1),0)</f>
        <v>0</v>
      </c>
      <c r="I54" s="24" t="n">
        <f aca="false">COUNTIF($B54:$E54,I$3)</f>
        <v>0</v>
      </c>
      <c r="J54" s="24" t="n">
        <f aca="false">COUNTIF($B54:$E54,J$3)</f>
        <v>0</v>
      </c>
      <c r="K54" s="24" t="n">
        <f aca="false">COUNTIF($B54:$E54,K$3)</f>
        <v>0</v>
      </c>
      <c r="L54" s="24" t="n">
        <f aca="false">COUNTIF($B54:$E54,L$3)</f>
        <v>0</v>
      </c>
      <c r="M54" s="24" t="n">
        <f aca="false">COUNTIF($B54:$E54,M$3)</f>
        <v>0</v>
      </c>
      <c r="N54" s="24" t="n">
        <f aca="false">COUNTIF($B54:$E54,N$3)</f>
        <v>0</v>
      </c>
      <c r="O54" s="24" t="n">
        <f aca="false">COUNTIF($B54:$E54,O$3)</f>
        <v>0</v>
      </c>
      <c r="P54" s="24" t="n">
        <f aca="false">COUNTIF($B54:$E54,P$3)</f>
        <v>0</v>
      </c>
      <c r="Q54" s="24" t="n">
        <f aca="false">COUNTIF($B54:$E54,Q$3)</f>
        <v>0</v>
      </c>
      <c r="R54" s="24" t="n">
        <f aca="false">COUNTIF($B54:$E54,R$3)</f>
        <v>0</v>
      </c>
      <c r="S54" s="24" t="n">
        <f aca="false">COUNTIF($B54:$E54,S$3)</f>
        <v>0</v>
      </c>
      <c r="T54" s="24" t="n">
        <f aca="false">COUNTIF($B54:$E54,T$3)</f>
        <v>0</v>
      </c>
      <c r="U54" s="24" t="n">
        <f aca="false">COUNTIF($B54:$E54,U$3)</f>
        <v>0</v>
      </c>
      <c r="V54" s="24" t="n">
        <f aca="false">COUNTIF($B54:$E54,V$3)</f>
        <v>0</v>
      </c>
      <c r="W54" s="24" t="n">
        <f aca="false">COUNTIF($B54:$E54,W$3)</f>
        <v>0</v>
      </c>
      <c r="X54" s="24" t="n">
        <f aca="false">COUNTIF($B54:$E54,X$3)</f>
        <v>0</v>
      </c>
      <c r="Y54" s="24" t="n">
        <f aca="false">COUNTIF($B54:$E54,Y$3)</f>
        <v>0</v>
      </c>
      <c r="Z54" s="24" t="n">
        <f aca="false">COUNTIF($B54:$E54,Z$3)</f>
        <v>0</v>
      </c>
      <c r="AA54" s="24" t="n">
        <f aca="false">COUNTIF($B54:$E54,AA$3)</f>
        <v>0</v>
      </c>
      <c r="AB54" s="24" t="n">
        <f aca="false">COUNTIF($B54:$E54,AB$3)</f>
        <v>0</v>
      </c>
    </row>
    <row r="55" customFormat="false" ht="15" hidden="false" customHeight="false" outlineLevel="0" collapsed="false">
      <c r="A55" s="24" t="n">
        <f aca="false">Input!A55</f>
        <v>51</v>
      </c>
      <c r="B55" s="24" t="str">
        <f aca="false">IF(Input!B55="","",IF(B$3&gt;Input!$H$4,"",IFERROR(MATCH(Input!B55,Input!$H$10:$H$29,0),"ERR")))</f>
        <v/>
      </c>
      <c r="C55" s="24" t="str">
        <f aca="false">IF(Input!C55="","",IF(C$3&gt;Input!$H$4,"",IFERROR(MATCH(Input!C55,Input!$H$10:$H$29,0),"ERR")))</f>
        <v/>
      </c>
      <c r="D55" s="24" t="str">
        <f aca="false">IF(Input!D55="","",IF(D$3&gt;Input!$H$4,"",IFERROR(MATCH(Input!D55,Input!$H$10:$H$29,0),"ERR")))</f>
        <v/>
      </c>
      <c r="E55" s="24" t="str">
        <f aca="false">IF(Input!E55="","",IF(E$3&gt;Input!$H$4,"",IFERROR(MATCH(Input!E55,Input!$H$10:$H$29,0),"ERR")))</f>
        <v/>
      </c>
      <c r="F55" s="24" t="n">
        <f aca="false">COUNT(B55:E55)</f>
        <v>0</v>
      </c>
      <c r="G55" s="24" t="n">
        <f aca="false">COUNTIF(B55:E55,"ERR")</f>
        <v>0</v>
      </c>
      <c r="H55" s="25" t="n">
        <f aca="false">IF(F55&gt;=2,1/(F55-1),0)</f>
        <v>0</v>
      </c>
      <c r="I55" s="24" t="n">
        <f aca="false">COUNTIF($B55:$E55,I$3)</f>
        <v>0</v>
      </c>
      <c r="J55" s="24" t="n">
        <f aca="false">COUNTIF($B55:$E55,J$3)</f>
        <v>0</v>
      </c>
      <c r="K55" s="24" t="n">
        <f aca="false">COUNTIF($B55:$E55,K$3)</f>
        <v>0</v>
      </c>
      <c r="L55" s="24" t="n">
        <f aca="false">COUNTIF($B55:$E55,L$3)</f>
        <v>0</v>
      </c>
      <c r="M55" s="24" t="n">
        <f aca="false">COUNTIF($B55:$E55,M$3)</f>
        <v>0</v>
      </c>
      <c r="N55" s="24" t="n">
        <f aca="false">COUNTIF($B55:$E55,N$3)</f>
        <v>0</v>
      </c>
      <c r="O55" s="24" t="n">
        <f aca="false">COUNTIF($B55:$E55,O$3)</f>
        <v>0</v>
      </c>
      <c r="P55" s="24" t="n">
        <f aca="false">COUNTIF($B55:$E55,P$3)</f>
        <v>0</v>
      </c>
      <c r="Q55" s="24" t="n">
        <f aca="false">COUNTIF($B55:$E55,Q$3)</f>
        <v>0</v>
      </c>
      <c r="R55" s="24" t="n">
        <f aca="false">COUNTIF($B55:$E55,R$3)</f>
        <v>0</v>
      </c>
      <c r="S55" s="24" t="n">
        <f aca="false">COUNTIF($B55:$E55,S$3)</f>
        <v>0</v>
      </c>
      <c r="T55" s="24" t="n">
        <f aca="false">COUNTIF($B55:$E55,T$3)</f>
        <v>0</v>
      </c>
      <c r="U55" s="24" t="n">
        <f aca="false">COUNTIF($B55:$E55,U$3)</f>
        <v>0</v>
      </c>
      <c r="V55" s="24" t="n">
        <f aca="false">COUNTIF($B55:$E55,V$3)</f>
        <v>0</v>
      </c>
      <c r="W55" s="24" t="n">
        <f aca="false">COUNTIF($B55:$E55,W$3)</f>
        <v>0</v>
      </c>
      <c r="X55" s="24" t="n">
        <f aca="false">COUNTIF($B55:$E55,X$3)</f>
        <v>0</v>
      </c>
      <c r="Y55" s="24" t="n">
        <f aca="false">COUNTIF($B55:$E55,Y$3)</f>
        <v>0</v>
      </c>
      <c r="Z55" s="24" t="n">
        <f aca="false">COUNTIF($B55:$E55,Z$3)</f>
        <v>0</v>
      </c>
      <c r="AA55" s="24" t="n">
        <f aca="false">COUNTIF($B55:$E55,AA$3)</f>
        <v>0</v>
      </c>
      <c r="AB55" s="24" t="n">
        <f aca="false">COUNTIF($B55:$E55,AB$3)</f>
        <v>0</v>
      </c>
    </row>
    <row r="56" customFormat="false" ht="15" hidden="false" customHeight="false" outlineLevel="0" collapsed="false">
      <c r="A56" s="24" t="n">
        <f aca="false">Input!A56</f>
        <v>52</v>
      </c>
      <c r="B56" s="24" t="str">
        <f aca="false">IF(Input!B56="","",IF(B$3&gt;Input!$H$4,"",IFERROR(MATCH(Input!B56,Input!$H$10:$H$29,0),"ERR")))</f>
        <v/>
      </c>
      <c r="C56" s="24" t="str">
        <f aca="false">IF(Input!C56="","",IF(C$3&gt;Input!$H$4,"",IFERROR(MATCH(Input!C56,Input!$H$10:$H$29,0),"ERR")))</f>
        <v/>
      </c>
      <c r="D56" s="24" t="str">
        <f aca="false">IF(Input!D56="","",IF(D$3&gt;Input!$H$4,"",IFERROR(MATCH(Input!D56,Input!$H$10:$H$29,0),"ERR")))</f>
        <v/>
      </c>
      <c r="E56" s="24" t="str">
        <f aca="false">IF(Input!E56="","",IF(E$3&gt;Input!$H$4,"",IFERROR(MATCH(Input!E56,Input!$H$10:$H$29,0),"ERR")))</f>
        <v/>
      </c>
      <c r="F56" s="24" t="n">
        <f aca="false">COUNT(B56:E56)</f>
        <v>0</v>
      </c>
      <c r="G56" s="24" t="n">
        <f aca="false">COUNTIF(B56:E56,"ERR")</f>
        <v>0</v>
      </c>
      <c r="H56" s="25" t="n">
        <f aca="false">IF(F56&gt;=2,1/(F56-1),0)</f>
        <v>0</v>
      </c>
      <c r="I56" s="24" t="n">
        <f aca="false">COUNTIF($B56:$E56,I$3)</f>
        <v>0</v>
      </c>
      <c r="J56" s="24" t="n">
        <f aca="false">COUNTIF($B56:$E56,J$3)</f>
        <v>0</v>
      </c>
      <c r="K56" s="24" t="n">
        <f aca="false">COUNTIF($B56:$E56,K$3)</f>
        <v>0</v>
      </c>
      <c r="L56" s="24" t="n">
        <f aca="false">COUNTIF($B56:$E56,L$3)</f>
        <v>0</v>
      </c>
      <c r="M56" s="24" t="n">
        <f aca="false">COUNTIF($B56:$E56,M$3)</f>
        <v>0</v>
      </c>
      <c r="N56" s="24" t="n">
        <f aca="false">COUNTIF($B56:$E56,N$3)</f>
        <v>0</v>
      </c>
      <c r="O56" s="24" t="n">
        <f aca="false">COUNTIF($B56:$E56,O$3)</f>
        <v>0</v>
      </c>
      <c r="P56" s="24" t="n">
        <f aca="false">COUNTIF($B56:$E56,P$3)</f>
        <v>0</v>
      </c>
      <c r="Q56" s="24" t="n">
        <f aca="false">COUNTIF($B56:$E56,Q$3)</f>
        <v>0</v>
      </c>
      <c r="R56" s="24" t="n">
        <f aca="false">COUNTIF($B56:$E56,R$3)</f>
        <v>0</v>
      </c>
      <c r="S56" s="24" t="n">
        <f aca="false">COUNTIF($B56:$E56,S$3)</f>
        <v>0</v>
      </c>
      <c r="T56" s="24" t="n">
        <f aca="false">COUNTIF($B56:$E56,T$3)</f>
        <v>0</v>
      </c>
      <c r="U56" s="24" t="n">
        <f aca="false">COUNTIF($B56:$E56,U$3)</f>
        <v>0</v>
      </c>
      <c r="V56" s="24" t="n">
        <f aca="false">COUNTIF($B56:$E56,V$3)</f>
        <v>0</v>
      </c>
      <c r="W56" s="24" t="n">
        <f aca="false">COUNTIF($B56:$E56,W$3)</f>
        <v>0</v>
      </c>
      <c r="X56" s="24" t="n">
        <f aca="false">COUNTIF($B56:$E56,X$3)</f>
        <v>0</v>
      </c>
      <c r="Y56" s="24" t="n">
        <f aca="false">COUNTIF($B56:$E56,Y$3)</f>
        <v>0</v>
      </c>
      <c r="Z56" s="24" t="n">
        <f aca="false">COUNTIF($B56:$E56,Z$3)</f>
        <v>0</v>
      </c>
      <c r="AA56" s="24" t="n">
        <f aca="false">COUNTIF($B56:$E56,AA$3)</f>
        <v>0</v>
      </c>
      <c r="AB56" s="24" t="n">
        <f aca="false">COUNTIF($B56:$E56,AB$3)</f>
        <v>0</v>
      </c>
    </row>
    <row r="57" customFormat="false" ht="15" hidden="false" customHeight="false" outlineLevel="0" collapsed="false">
      <c r="A57" s="24" t="n">
        <f aca="false">Input!A57</f>
        <v>53</v>
      </c>
      <c r="B57" s="24" t="str">
        <f aca="false">IF(Input!B57="","",IF(B$3&gt;Input!$H$4,"",IFERROR(MATCH(Input!B57,Input!$H$10:$H$29,0),"ERR")))</f>
        <v/>
      </c>
      <c r="C57" s="24" t="str">
        <f aca="false">IF(Input!C57="","",IF(C$3&gt;Input!$H$4,"",IFERROR(MATCH(Input!C57,Input!$H$10:$H$29,0),"ERR")))</f>
        <v/>
      </c>
      <c r="D57" s="24" t="str">
        <f aca="false">IF(Input!D57="","",IF(D$3&gt;Input!$H$4,"",IFERROR(MATCH(Input!D57,Input!$H$10:$H$29,0),"ERR")))</f>
        <v/>
      </c>
      <c r="E57" s="24" t="str">
        <f aca="false">IF(Input!E57="","",IF(E$3&gt;Input!$H$4,"",IFERROR(MATCH(Input!E57,Input!$H$10:$H$29,0),"ERR")))</f>
        <v/>
      </c>
      <c r="F57" s="24" t="n">
        <f aca="false">COUNT(B57:E57)</f>
        <v>0</v>
      </c>
      <c r="G57" s="24" t="n">
        <f aca="false">COUNTIF(B57:E57,"ERR")</f>
        <v>0</v>
      </c>
      <c r="H57" s="25" t="n">
        <f aca="false">IF(F57&gt;=2,1/(F57-1),0)</f>
        <v>0</v>
      </c>
      <c r="I57" s="24" t="n">
        <f aca="false">COUNTIF($B57:$E57,I$3)</f>
        <v>0</v>
      </c>
      <c r="J57" s="24" t="n">
        <f aca="false">COUNTIF($B57:$E57,J$3)</f>
        <v>0</v>
      </c>
      <c r="K57" s="24" t="n">
        <f aca="false">COUNTIF($B57:$E57,K$3)</f>
        <v>0</v>
      </c>
      <c r="L57" s="24" t="n">
        <f aca="false">COUNTIF($B57:$E57,L$3)</f>
        <v>0</v>
      </c>
      <c r="M57" s="24" t="n">
        <f aca="false">COUNTIF($B57:$E57,M$3)</f>
        <v>0</v>
      </c>
      <c r="N57" s="24" t="n">
        <f aca="false">COUNTIF($B57:$E57,N$3)</f>
        <v>0</v>
      </c>
      <c r="O57" s="24" t="n">
        <f aca="false">COUNTIF($B57:$E57,O$3)</f>
        <v>0</v>
      </c>
      <c r="P57" s="24" t="n">
        <f aca="false">COUNTIF($B57:$E57,P$3)</f>
        <v>0</v>
      </c>
      <c r="Q57" s="24" t="n">
        <f aca="false">COUNTIF($B57:$E57,Q$3)</f>
        <v>0</v>
      </c>
      <c r="R57" s="24" t="n">
        <f aca="false">COUNTIF($B57:$E57,R$3)</f>
        <v>0</v>
      </c>
      <c r="S57" s="24" t="n">
        <f aca="false">COUNTIF($B57:$E57,S$3)</f>
        <v>0</v>
      </c>
      <c r="T57" s="24" t="n">
        <f aca="false">COUNTIF($B57:$E57,T$3)</f>
        <v>0</v>
      </c>
      <c r="U57" s="24" t="n">
        <f aca="false">COUNTIF($B57:$E57,U$3)</f>
        <v>0</v>
      </c>
      <c r="V57" s="24" t="n">
        <f aca="false">COUNTIF($B57:$E57,V$3)</f>
        <v>0</v>
      </c>
      <c r="W57" s="24" t="n">
        <f aca="false">COUNTIF($B57:$E57,W$3)</f>
        <v>0</v>
      </c>
      <c r="X57" s="24" t="n">
        <f aca="false">COUNTIF($B57:$E57,X$3)</f>
        <v>0</v>
      </c>
      <c r="Y57" s="24" t="n">
        <f aca="false">COUNTIF($B57:$E57,Y$3)</f>
        <v>0</v>
      </c>
      <c r="Z57" s="24" t="n">
        <f aca="false">COUNTIF($B57:$E57,Z$3)</f>
        <v>0</v>
      </c>
      <c r="AA57" s="24" t="n">
        <f aca="false">COUNTIF($B57:$E57,AA$3)</f>
        <v>0</v>
      </c>
      <c r="AB57" s="24" t="n">
        <f aca="false">COUNTIF($B57:$E57,AB$3)</f>
        <v>0</v>
      </c>
    </row>
    <row r="58" customFormat="false" ht="15" hidden="false" customHeight="false" outlineLevel="0" collapsed="false">
      <c r="A58" s="24" t="n">
        <f aca="false">Input!A58</f>
        <v>54</v>
      </c>
      <c r="B58" s="24" t="str">
        <f aca="false">IF(Input!B58="","",IF(B$3&gt;Input!$H$4,"",IFERROR(MATCH(Input!B58,Input!$H$10:$H$29,0),"ERR")))</f>
        <v/>
      </c>
      <c r="C58" s="24" t="str">
        <f aca="false">IF(Input!C58="","",IF(C$3&gt;Input!$H$4,"",IFERROR(MATCH(Input!C58,Input!$H$10:$H$29,0),"ERR")))</f>
        <v/>
      </c>
      <c r="D58" s="24" t="str">
        <f aca="false">IF(Input!D58="","",IF(D$3&gt;Input!$H$4,"",IFERROR(MATCH(Input!D58,Input!$H$10:$H$29,0),"ERR")))</f>
        <v/>
      </c>
      <c r="E58" s="24" t="str">
        <f aca="false">IF(Input!E58="","",IF(E$3&gt;Input!$H$4,"",IFERROR(MATCH(Input!E58,Input!$H$10:$H$29,0),"ERR")))</f>
        <v/>
      </c>
      <c r="F58" s="24" t="n">
        <f aca="false">COUNT(B58:E58)</f>
        <v>0</v>
      </c>
      <c r="G58" s="24" t="n">
        <f aca="false">COUNTIF(B58:E58,"ERR")</f>
        <v>0</v>
      </c>
      <c r="H58" s="25" t="n">
        <f aca="false">IF(F58&gt;=2,1/(F58-1),0)</f>
        <v>0</v>
      </c>
      <c r="I58" s="24" t="n">
        <f aca="false">COUNTIF($B58:$E58,I$3)</f>
        <v>0</v>
      </c>
      <c r="J58" s="24" t="n">
        <f aca="false">COUNTIF($B58:$E58,J$3)</f>
        <v>0</v>
      </c>
      <c r="K58" s="24" t="n">
        <f aca="false">COUNTIF($B58:$E58,K$3)</f>
        <v>0</v>
      </c>
      <c r="L58" s="24" t="n">
        <f aca="false">COUNTIF($B58:$E58,L$3)</f>
        <v>0</v>
      </c>
      <c r="M58" s="24" t="n">
        <f aca="false">COUNTIF($B58:$E58,M$3)</f>
        <v>0</v>
      </c>
      <c r="N58" s="24" t="n">
        <f aca="false">COUNTIF($B58:$E58,N$3)</f>
        <v>0</v>
      </c>
      <c r="O58" s="24" t="n">
        <f aca="false">COUNTIF($B58:$E58,O$3)</f>
        <v>0</v>
      </c>
      <c r="P58" s="24" t="n">
        <f aca="false">COUNTIF($B58:$E58,P$3)</f>
        <v>0</v>
      </c>
      <c r="Q58" s="24" t="n">
        <f aca="false">COUNTIF($B58:$E58,Q$3)</f>
        <v>0</v>
      </c>
      <c r="R58" s="24" t="n">
        <f aca="false">COUNTIF($B58:$E58,R$3)</f>
        <v>0</v>
      </c>
      <c r="S58" s="24" t="n">
        <f aca="false">COUNTIF($B58:$E58,S$3)</f>
        <v>0</v>
      </c>
      <c r="T58" s="24" t="n">
        <f aca="false">COUNTIF($B58:$E58,T$3)</f>
        <v>0</v>
      </c>
      <c r="U58" s="24" t="n">
        <f aca="false">COUNTIF($B58:$E58,U$3)</f>
        <v>0</v>
      </c>
      <c r="V58" s="24" t="n">
        <f aca="false">COUNTIF($B58:$E58,V$3)</f>
        <v>0</v>
      </c>
      <c r="W58" s="24" t="n">
        <f aca="false">COUNTIF($B58:$E58,W$3)</f>
        <v>0</v>
      </c>
      <c r="X58" s="24" t="n">
        <f aca="false">COUNTIF($B58:$E58,X$3)</f>
        <v>0</v>
      </c>
      <c r="Y58" s="24" t="n">
        <f aca="false">COUNTIF($B58:$E58,Y$3)</f>
        <v>0</v>
      </c>
      <c r="Z58" s="24" t="n">
        <f aca="false">COUNTIF($B58:$E58,Z$3)</f>
        <v>0</v>
      </c>
      <c r="AA58" s="24" t="n">
        <f aca="false">COUNTIF($B58:$E58,AA$3)</f>
        <v>0</v>
      </c>
      <c r="AB58" s="24" t="n">
        <f aca="false">COUNTIF($B58:$E58,AB$3)</f>
        <v>0</v>
      </c>
    </row>
    <row r="59" customFormat="false" ht="15" hidden="false" customHeight="false" outlineLevel="0" collapsed="false">
      <c r="A59" s="24" t="n">
        <f aca="false">Input!A59</f>
        <v>55</v>
      </c>
      <c r="B59" s="24" t="str">
        <f aca="false">IF(Input!B59="","",IF(B$3&gt;Input!$H$4,"",IFERROR(MATCH(Input!B59,Input!$H$10:$H$29,0),"ERR")))</f>
        <v/>
      </c>
      <c r="C59" s="24" t="str">
        <f aca="false">IF(Input!C59="","",IF(C$3&gt;Input!$H$4,"",IFERROR(MATCH(Input!C59,Input!$H$10:$H$29,0),"ERR")))</f>
        <v/>
      </c>
      <c r="D59" s="24" t="str">
        <f aca="false">IF(Input!D59="","",IF(D$3&gt;Input!$H$4,"",IFERROR(MATCH(Input!D59,Input!$H$10:$H$29,0),"ERR")))</f>
        <v/>
      </c>
      <c r="E59" s="24" t="str">
        <f aca="false">IF(Input!E59="","",IF(E$3&gt;Input!$H$4,"",IFERROR(MATCH(Input!E59,Input!$H$10:$H$29,0),"ERR")))</f>
        <v/>
      </c>
      <c r="F59" s="24" t="n">
        <f aca="false">COUNT(B59:E59)</f>
        <v>0</v>
      </c>
      <c r="G59" s="24" t="n">
        <f aca="false">COUNTIF(B59:E59,"ERR")</f>
        <v>0</v>
      </c>
      <c r="H59" s="25" t="n">
        <f aca="false">IF(F59&gt;=2,1/(F59-1),0)</f>
        <v>0</v>
      </c>
      <c r="I59" s="24" t="n">
        <f aca="false">COUNTIF($B59:$E59,I$3)</f>
        <v>0</v>
      </c>
      <c r="J59" s="24" t="n">
        <f aca="false">COUNTIF($B59:$E59,J$3)</f>
        <v>0</v>
      </c>
      <c r="K59" s="24" t="n">
        <f aca="false">COUNTIF($B59:$E59,K$3)</f>
        <v>0</v>
      </c>
      <c r="L59" s="24" t="n">
        <f aca="false">COUNTIF($B59:$E59,L$3)</f>
        <v>0</v>
      </c>
      <c r="M59" s="24" t="n">
        <f aca="false">COUNTIF($B59:$E59,M$3)</f>
        <v>0</v>
      </c>
      <c r="N59" s="24" t="n">
        <f aca="false">COUNTIF($B59:$E59,N$3)</f>
        <v>0</v>
      </c>
      <c r="O59" s="24" t="n">
        <f aca="false">COUNTIF($B59:$E59,O$3)</f>
        <v>0</v>
      </c>
      <c r="P59" s="24" t="n">
        <f aca="false">COUNTIF($B59:$E59,P$3)</f>
        <v>0</v>
      </c>
      <c r="Q59" s="24" t="n">
        <f aca="false">COUNTIF($B59:$E59,Q$3)</f>
        <v>0</v>
      </c>
      <c r="R59" s="24" t="n">
        <f aca="false">COUNTIF($B59:$E59,R$3)</f>
        <v>0</v>
      </c>
      <c r="S59" s="24" t="n">
        <f aca="false">COUNTIF($B59:$E59,S$3)</f>
        <v>0</v>
      </c>
      <c r="T59" s="24" t="n">
        <f aca="false">COUNTIF($B59:$E59,T$3)</f>
        <v>0</v>
      </c>
      <c r="U59" s="24" t="n">
        <f aca="false">COUNTIF($B59:$E59,U$3)</f>
        <v>0</v>
      </c>
      <c r="V59" s="24" t="n">
        <f aca="false">COUNTIF($B59:$E59,V$3)</f>
        <v>0</v>
      </c>
      <c r="W59" s="24" t="n">
        <f aca="false">COUNTIF($B59:$E59,W$3)</f>
        <v>0</v>
      </c>
      <c r="X59" s="24" t="n">
        <f aca="false">COUNTIF($B59:$E59,X$3)</f>
        <v>0</v>
      </c>
      <c r="Y59" s="24" t="n">
        <f aca="false">COUNTIF($B59:$E59,Y$3)</f>
        <v>0</v>
      </c>
      <c r="Z59" s="24" t="n">
        <f aca="false">COUNTIF($B59:$E59,Z$3)</f>
        <v>0</v>
      </c>
      <c r="AA59" s="24" t="n">
        <f aca="false">COUNTIF($B59:$E59,AA$3)</f>
        <v>0</v>
      </c>
      <c r="AB59" s="24" t="n">
        <f aca="false">COUNTIF($B59:$E59,AB$3)</f>
        <v>0</v>
      </c>
    </row>
    <row r="60" customFormat="false" ht="15" hidden="false" customHeight="false" outlineLevel="0" collapsed="false">
      <c r="A60" s="24" t="n">
        <f aca="false">Input!A60</f>
        <v>56</v>
      </c>
      <c r="B60" s="24" t="str">
        <f aca="false">IF(Input!B60="","",IF(B$3&gt;Input!$H$4,"",IFERROR(MATCH(Input!B60,Input!$H$10:$H$29,0),"ERR")))</f>
        <v/>
      </c>
      <c r="C60" s="24" t="str">
        <f aca="false">IF(Input!C60="","",IF(C$3&gt;Input!$H$4,"",IFERROR(MATCH(Input!C60,Input!$H$10:$H$29,0),"ERR")))</f>
        <v/>
      </c>
      <c r="D60" s="24" t="str">
        <f aca="false">IF(Input!D60="","",IF(D$3&gt;Input!$H$4,"",IFERROR(MATCH(Input!D60,Input!$H$10:$H$29,0),"ERR")))</f>
        <v/>
      </c>
      <c r="E60" s="24" t="str">
        <f aca="false">IF(Input!E60="","",IF(E$3&gt;Input!$H$4,"",IFERROR(MATCH(Input!E60,Input!$H$10:$H$29,0),"ERR")))</f>
        <v/>
      </c>
      <c r="F60" s="24" t="n">
        <f aca="false">COUNT(B60:E60)</f>
        <v>0</v>
      </c>
      <c r="G60" s="24" t="n">
        <f aca="false">COUNTIF(B60:E60,"ERR")</f>
        <v>0</v>
      </c>
      <c r="H60" s="25" t="n">
        <f aca="false">IF(F60&gt;=2,1/(F60-1),0)</f>
        <v>0</v>
      </c>
      <c r="I60" s="24" t="n">
        <f aca="false">COUNTIF($B60:$E60,I$3)</f>
        <v>0</v>
      </c>
      <c r="J60" s="24" t="n">
        <f aca="false">COUNTIF($B60:$E60,J$3)</f>
        <v>0</v>
      </c>
      <c r="K60" s="24" t="n">
        <f aca="false">COUNTIF($B60:$E60,K$3)</f>
        <v>0</v>
      </c>
      <c r="L60" s="24" t="n">
        <f aca="false">COUNTIF($B60:$E60,L$3)</f>
        <v>0</v>
      </c>
      <c r="M60" s="24" t="n">
        <f aca="false">COUNTIF($B60:$E60,M$3)</f>
        <v>0</v>
      </c>
      <c r="N60" s="24" t="n">
        <f aca="false">COUNTIF($B60:$E60,N$3)</f>
        <v>0</v>
      </c>
      <c r="O60" s="24" t="n">
        <f aca="false">COUNTIF($B60:$E60,O$3)</f>
        <v>0</v>
      </c>
      <c r="P60" s="24" t="n">
        <f aca="false">COUNTIF($B60:$E60,P$3)</f>
        <v>0</v>
      </c>
      <c r="Q60" s="24" t="n">
        <f aca="false">COUNTIF($B60:$E60,Q$3)</f>
        <v>0</v>
      </c>
      <c r="R60" s="24" t="n">
        <f aca="false">COUNTIF($B60:$E60,R$3)</f>
        <v>0</v>
      </c>
      <c r="S60" s="24" t="n">
        <f aca="false">COUNTIF($B60:$E60,S$3)</f>
        <v>0</v>
      </c>
      <c r="T60" s="24" t="n">
        <f aca="false">COUNTIF($B60:$E60,T$3)</f>
        <v>0</v>
      </c>
      <c r="U60" s="24" t="n">
        <f aca="false">COUNTIF($B60:$E60,U$3)</f>
        <v>0</v>
      </c>
      <c r="V60" s="24" t="n">
        <f aca="false">COUNTIF($B60:$E60,V$3)</f>
        <v>0</v>
      </c>
      <c r="W60" s="24" t="n">
        <f aca="false">COUNTIF($B60:$E60,W$3)</f>
        <v>0</v>
      </c>
      <c r="X60" s="24" t="n">
        <f aca="false">COUNTIF($B60:$E60,X$3)</f>
        <v>0</v>
      </c>
      <c r="Y60" s="24" t="n">
        <f aca="false">COUNTIF($B60:$E60,Y$3)</f>
        <v>0</v>
      </c>
      <c r="Z60" s="24" t="n">
        <f aca="false">COUNTIF($B60:$E60,Z$3)</f>
        <v>0</v>
      </c>
      <c r="AA60" s="24" t="n">
        <f aca="false">COUNTIF($B60:$E60,AA$3)</f>
        <v>0</v>
      </c>
      <c r="AB60" s="24" t="n">
        <f aca="false">COUNTIF($B60:$E60,AB$3)</f>
        <v>0</v>
      </c>
    </row>
    <row r="61" customFormat="false" ht="15" hidden="false" customHeight="false" outlineLevel="0" collapsed="false">
      <c r="A61" s="24" t="n">
        <f aca="false">Input!A61</f>
        <v>57</v>
      </c>
      <c r="B61" s="24" t="str">
        <f aca="false">IF(Input!B61="","",IF(B$3&gt;Input!$H$4,"",IFERROR(MATCH(Input!B61,Input!$H$10:$H$29,0),"ERR")))</f>
        <v/>
      </c>
      <c r="C61" s="24" t="str">
        <f aca="false">IF(Input!C61="","",IF(C$3&gt;Input!$H$4,"",IFERROR(MATCH(Input!C61,Input!$H$10:$H$29,0),"ERR")))</f>
        <v/>
      </c>
      <c r="D61" s="24" t="str">
        <f aca="false">IF(Input!D61="","",IF(D$3&gt;Input!$H$4,"",IFERROR(MATCH(Input!D61,Input!$H$10:$H$29,0),"ERR")))</f>
        <v/>
      </c>
      <c r="E61" s="24" t="str">
        <f aca="false">IF(Input!E61="","",IF(E$3&gt;Input!$H$4,"",IFERROR(MATCH(Input!E61,Input!$H$10:$H$29,0),"ERR")))</f>
        <v/>
      </c>
      <c r="F61" s="24" t="n">
        <f aca="false">COUNT(B61:E61)</f>
        <v>0</v>
      </c>
      <c r="G61" s="24" t="n">
        <f aca="false">COUNTIF(B61:E61,"ERR")</f>
        <v>0</v>
      </c>
      <c r="H61" s="25" t="n">
        <f aca="false">IF(F61&gt;=2,1/(F61-1),0)</f>
        <v>0</v>
      </c>
      <c r="I61" s="24" t="n">
        <f aca="false">COUNTIF($B61:$E61,I$3)</f>
        <v>0</v>
      </c>
      <c r="J61" s="24" t="n">
        <f aca="false">COUNTIF($B61:$E61,J$3)</f>
        <v>0</v>
      </c>
      <c r="K61" s="24" t="n">
        <f aca="false">COUNTIF($B61:$E61,K$3)</f>
        <v>0</v>
      </c>
      <c r="L61" s="24" t="n">
        <f aca="false">COUNTIF($B61:$E61,L$3)</f>
        <v>0</v>
      </c>
      <c r="M61" s="24" t="n">
        <f aca="false">COUNTIF($B61:$E61,M$3)</f>
        <v>0</v>
      </c>
      <c r="N61" s="24" t="n">
        <f aca="false">COUNTIF($B61:$E61,N$3)</f>
        <v>0</v>
      </c>
      <c r="O61" s="24" t="n">
        <f aca="false">COUNTIF($B61:$E61,O$3)</f>
        <v>0</v>
      </c>
      <c r="P61" s="24" t="n">
        <f aca="false">COUNTIF($B61:$E61,P$3)</f>
        <v>0</v>
      </c>
      <c r="Q61" s="24" t="n">
        <f aca="false">COUNTIF($B61:$E61,Q$3)</f>
        <v>0</v>
      </c>
      <c r="R61" s="24" t="n">
        <f aca="false">COUNTIF($B61:$E61,R$3)</f>
        <v>0</v>
      </c>
      <c r="S61" s="24" t="n">
        <f aca="false">COUNTIF($B61:$E61,S$3)</f>
        <v>0</v>
      </c>
      <c r="T61" s="24" t="n">
        <f aca="false">COUNTIF($B61:$E61,T$3)</f>
        <v>0</v>
      </c>
      <c r="U61" s="24" t="n">
        <f aca="false">COUNTIF($B61:$E61,U$3)</f>
        <v>0</v>
      </c>
      <c r="V61" s="24" t="n">
        <f aca="false">COUNTIF($B61:$E61,V$3)</f>
        <v>0</v>
      </c>
      <c r="W61" s="24" t="n">
        <f aca="false">COUNTIF($B61:$E61,W$3)</f>
        <v>0</v>
      </c>
      <c r="X61" s="24" t="n">
        <f aca="false">COUNTIF($B61:$E61,X$3)</f>
        <v>0</v>
      </c>
      <c r="Y61" s="24" t="n">
        <f aca="false">COUNTIF($B61:$E61,Y$3)</f>
        <v>0</v>
      </c>
      <c r="Z61" s="24" t="n">
        <f aca="false">COUNTIF($B61:$E61,Z$3)</f>
        <v>0</v>
      </c>
      <c r="AA61" s="24" t="n">
        <f aca="false">COUNTIF($B61:$E61,AA$3)</f>
        <v>0</v>
      </c>
      <c r="AB61" s="24" t="n">
        <f aca="false">COUNTIF($B61:$E61,AB$3)</f>
        <v>0</v>
      </c>
    </row>
    <row r="62" customFormat="false" ht="15" hidden="false" customHeight="false" outlineLevel="0" collapsed="false">
      <c r="A62" s="24" t="n">
        <f aca="false">Input!A62</f>
        <v>58</v>
      </c>
      <c r="B62" s="24" t="str">
        <f aca="false">IF(Input!B62="","",IF(B$3&gt;Input!$H$4,"",IFERROR(MATCH(Input!B62,Input!$H$10:$H$29,0),"ERR")))</f>
        <v/>
      </c>
      <c r="C62" s="24" t="str">
        <f aca="false">IF(Input!C62="","",IF(C$3&gt;Input!$H$4,"",IFERROR(MATCH(Input!C62,Input!$H$10:$H$29,0),"ERR")))</f>
        <v/>
      </c>
      <c r="D62" s="24" t="str">
        <f aca="false">IF(Input!D62="","",IF(D$3&gt;Input!$H$4,"",IFERROR(MATCH(Input!D62,Input!$H$10:$H$29,0),"ERR")))</f>
        <v/>
      </c>
      <c r="E62" s="24" t="str">
        <f aca="false">IF(Input!E62="","",IF(E$3&gt;Input!$H$4,"",IFERROR(MATCH(Input!E62,Input!$H$10:$H$29,0),"ERR")))</f>
        <v/>
      </c>
      <c r="F62" s="24" t="n">
        <f aca="false">COUNT(B62:E62)</f>
        <v>0</v>
      </c>
      <c r="G62" s="24" t="n">
        <f aca="false">COUNTIF(B62:E62,"ERR")</f>
        <v>0</v>
      </c>
      <c r="H62" s="25" t="n">
        <f aca="false">IF(F62&gt;=2,1/(F62-1),0)</f>
        <v>0</v>
      </c>
      <c r="I62" s="24" t="n">
        <f aca="false">COUNTIF($B62:$E62,I$3)</f>
        <v>0</v>
      </c>
      <c r="J62" s="24" t="n">
        <f aca="false">COUNTIF($B62:$E62,J$3)</f>
        <v>0</v>
      </c>
      <c r="K62" s="24" t="n">
        <f aca="false">COUNTIF($B62:$E62,K$3)</f>
        <v>0</v>
      </c>
      <c r="L62" s="24" t="n">
        <f aca="false">COUNTIF($B62:$E62,L$3)</f>
        <v>0</v>
      </c>
      <c r="M62" s="24" t="n">
        <f aca="false">COUNTIF($B62:$E62,M$3)</f>
        <v>0</v>
      </c>
      <c r="N62" s="24" t="n">
        <f aca="false">COUNTIF($B62:$E62,N$3)</f>
        <v>0</v>
      </c>
      <c r="O62" s="24" t="n">
        <f aca="false">COUNTIF($B62:$E62,O$3)</f>
        <v>0</v>
      </c>
      <c r="P62" s="24" t="n">
        <f aca="false">COUNTIF($B62:$E62,P$3)</f>
        <v>0</v>
      </c>
      <c r="Q62" s="24" t="n">
        <f aca="false">COUNTIF($B62:$E62,Q$3)</f>
        <v>0</v>
      </c>
      <c r="R62" s="24" t="n">
        <f aca="false">COUNTIF($B62:$E62,R$3)</f>
        <v>0</v>
      </c>
      <c r="S62" s="24" t="n">
        <f aca="false">COUNTIF($B62:$E62,S$3)</f>
        <v>0</v>
      </c>
      <c r="T62" s="24" t="n">
        <f aca="false">COUNTIF($B62:$E62,T$3)</f>
        <v>0</v>
      </c>
      <c r="U62" s="24" t="n">
        <f aca="false">COUNTIF($B62:$E62,U$3)</f>
        <v>0</v>
      </c>
      <c r="V62" s="24" t="n">
        <f aca="false">COUNTIF($B62:$E62,V$3)</f>
        <v>0</v>
      </c>
      <c r="W62" s="24" t="n">
        <f aca="false">COUNTIF($B62:$E62,W$3)</f>
        <v>0</v>
      </c>
      <c r="X62" s="24" t="n">
        <f aca="false">COUNTIF($B62:$E62,X$3)</f>
        <v>0</v>
      </c>
      <c r="Y62" s="24" t="n">
        <f aca="false">COUNTIF($B62:$E62,Y$3)</f>
        <v>0</v>
      </c>
      <c r="Z62" s="24" t="n">
        <f aca="false">COUNTIF($B62:$E62,Z$3)</f>
        <v>0</v>
      </c>
      <c r="AA62" s="24" t="n">
        <f aca="false">COUNTIF($B62:$E62,AA$3)</f>
        <v>0</v>
      </c>
      <c r="AB62" s="24" t="n">
        <f aca="false">COUNTIF($B62:$E62,AB$3)</f>
        <v>0</v>
      </c>
    </row>
    <row r="63" customFormat="false" ht="15" hidden="false" customHeight="false" outlineLevel="0" collapsed="false">
      <c r="A63" s="24" t="n">
        <f aca="false">Input!A63</f>
        <v>59</v>
      </c>
      <c r="B63" s="24" t="str">
        <f aca="false">IF(Input!B63="","",IF(B$3&gt;Input!$H$4,"",IFERROR(MATCH(Input!B63,Input!$H$10:$H$29,0),"ERR")))</f>
        <v/>
      </c>
      <c r="C63" s="24" t="str">
        <f aca="false">IF(Input!C63="","",IF(C$3&gt;Input!$H$4,"",IFERROR(MATCH(Input!C63,Input!$H$10:$H$29,0),"ERR")))</f>
        <v/>
      </c>
      <c r="D63" s="24" t="str">
        <f aca="false">IF(Input!D63="","",IF(D$3&gt;Input!$H$4,"",IFERROR(MATCH(Input!D63,Input!$H$10:$H$29,0),"ERR")))</f>
        <v/>
      </c>
      <c r="E63" s="24" t="str">
        <f aca="false">IF(Input!E63="","",IF(E$3&gt;Input!$H$4,"",IFERROR(MATCH(Input!E63,Input!$H$10:$H$29,0),"ERR")))</f>
        <v/>
      </c>
      <c r="F63" s="24" t="n">
        <f aca="false">COUNT(B63:E63)</f>
        <v>0</v>
      </c>
      <c r="G63" s="24" t="n">
        <f aca="false">COUNTIF(B63:E63,"ERR")</f>
        <v>0</v>
      </c>
      <c r="H63" s="25" t="n">
        <f aca="false">IF(F63&gt;=2,1/(F63-1),0)</f>
        <v>0</v>
      </c>
      <c r="I63" s="24" t="n">
        <f aca="false">COUNTIF($B63:$E63,I$3)</f>
        <v>0</v>
      </c>
      <c r="J63" s="24" t="n">
        <f aca="false">COUNTIF($B63:$E63,J$3)</f>
        <v>0</v>
      </c>
      <c r="K63" s="24" t="n">
        <f aca="false">COUNTIF($B63:$E63,K$3)</f>
        <v>0</v>
      </c>
      <c r="L63" s="24" t="n">
        <f aca="false">COUNTIF($B63:$E63,L$3)</f>
        <v>0</v>
      </c>
      <c r="M63" s="24" t="n">
        <f aca="false">COUNTIF($B63:$E63,M$3)</f>
        <v>0</v>
      </c>
      <c r="N63" s="24" t="n">
        <f aca="false">COUNTIF($B63:$E63,N$3)</f>
        <v>0</v>
      </c>
      <c r="O63" s="24" t="n">
        <f aca="false">COUNTIF($B63:$E63,O$3)</f>
        <v>0</v>
      </c>
      <c r="P63" s="24" t="n">
        <f aca="false">COUNTIF($B63:$E63,P$3)</f>
        <v>0</v>
      </c>
      <c r="Q63" s="24" t="n">
        <f aca="false">COUNTIF($B63:$E63,Q$3)</f>
        <v>0</v>
      </c>
      <c r="R63" s="24" t="n">
        <f aca="false">COUNTIF($B63:$E63,R$3)</f>
        <v>0</v>
      </c>
      <c r="S63" s="24" t="n">
        <f aca="false">COUNTIF($B63:$E63,S$3)</f>
        <v>0</v>
      </c>
      <c r="T63" s="24" t="n">
        <f aca="false">COUNTIF($B63:$E63,T$3)</f>
        <v>0</v>
      </c>
      <c r="U63" s="24" t="n">
        <f aca="false">COUNTIF($B63:$E63,U$3)</f>
        <v>0</v>
      </c>
      <c r="V63" s="24" t="n">
        <f aca="false">COUNTIF($B63:$E63,V$3)</f>
        <v>0</v>
      </c>
      <c r="W63" s="24" t="n">
        <f aca="false">COUNTIF($B63:$E63,W$3)</f>
        <v>0</v>
      </c>
      <c r="X63" s="24" t="n">
        <f aca="false">COUNTIF($B63:$E63,X$3)</f>
        <v>0</v>
      </c>
      <c r="Y63" s="24" t="n">
        <f aca="false">COUNTIF($B63:$E63,Y$3)</f>
        <v>0</v>
      </c>
      <c r="Z63" s="24" t="n">
        <f aca="false">COUNTIF($B63:$E63,Z$3)</f>
        <v>0</v>
      </c>
      <c r="AA63" s="24" t="n">
        <f aca="false">COUNTIF($B63:$E63,AA$3)</f>
        <v>0</v>
      </c>
      <c r="AB63" s="24" t="n">
        <f aca="false">COUNTIF($B63:$E63,AB$3)</f>
        <v>0</v>
      </c>
    </row>
    <row r="64" customFormat="false" ht="15" hidden="false" customHeight="false" outlineLevel="0" collapsed="false">
      <c r="A64" s="24" t="n">
        <f aca="false">Input!A64</f>
        <v>60</v>
      </c>
      <c r="B64" s="24" t="str">
        <f aca="false">IF(Input!B64="","",IF(B$3&gt;Input!$H$4,"",IFERROR(MATCH(Input!B64,Input!$H$10:$H$29,0),"ERR")))</f>
        <v/>
      </c>
      <c r="C64" s="24" t="str">
        <f aca="false">IF(Input!C64="","",IF(C$3&gt;Input!$H$4,"",IFERROR(MATCH(Input!C64,Input!$H$10:$H$29,0),"ERR")))</f>
        <v/>
      </c>
      <c r="D64" s="24" t="str">
        <f aca="false">IF(Input!D64="","",IF(D$3&gt;Input!$H$4,"",IFERROR(MATCH(Input!D64,Input!$H$10:$H$29,0),"ERR")))</f>
        <v/>
      </c>
      <c r="E64" s="24" t="str">
        <f aca="false">IF(Input!E64="","",IF(E$3&gt;Input!$H$4,"",IFERROR(MATCH(Input!E64,Input!$H$10:$H$29,0),"ERR")))</f>
        <v/>
      </c>
      <c r="F64" s="24" t="n">
        <f aca="false">COUNT(B64:E64)</f>
        <v>0</v>
      </c>
      <c r="G64" s="24" t="n">
        <f aca="false">COUNTIF(B64:E64,"ERR")</f>
        <v>0</v>
      </c>
      <c r="H64" s="25" t="n">
        <f aca="false">IF(F64&gt;=2,1/(F64-1),0)</f>
        <v>0</v>
      </c>
      <c r="I64" s="24" t="n">
        <f aca="false">COUNTIF($B64:$E64,I$3)</f>
        <v>0</v>
      </c>
      <c r="J64" s="24" t="n">
        <f aca="false">COUNTIF($B64:$E64,J$3)</f>
        <v>0</v>
      </c>
      <c r="K64" s="24" t="n">
        <f aca="false">COUNTIF($B64:$E64,K$3)</f>
        <v>0</v>
      </c>
      <c r="L64" s="24" t="n">
        <f aca="false">COUNTIF($B64:$E64,L$3)</f>
        <v>0</v>
      </c>
      <c r="M64" s="24" t="n">
        <f aca="false">COUNTIF($B64:$E64,M$3)</f>
        <v>0</v>
      </c>
      <c r="N64" s="24" t="n">
        <f aca="false">COUNTIF($B64:$E64,N$3)</f>
        <v>0</v>
      </c>
      <c r="O64" s="24" t="n">
        <f aca="false">COUNTIF($B64:$E64,O$3)</f>
        <v>0</v>
      </c>
      <c r="P64" s="24" t="n">
        <f aca="false">COUNTIF($B64:$E64,P$3)</f>
        <v>0</v>
      </c>
      <c r="Q64" s="24" t="n">
        <f aca="false">COUNTIF($B64:$E64,Q$3)</f>
        <v>0</v>
      </c>
      <c r="R64" s="24" t="n">
        <f aca="false">COUNTIF($B64:$E64,R$3)</f>
        <v>0</v>
      </c>
      <c r="S64" s="24" t="n">
        <f aca="false">COUNTIF($B64:$E64,S$3)</f>
        <v>0</v>
      </c>
      <c r="T64" s="24" t="n">
        <f aca="false">COUNTIF($B64:$E64,T$3)</f>
        <v>0</v>
      </c>
      <c r="U64" s="24" t="n">
        <f aca="false">COUNTIF($B64:$E64,U$3)</f>
        <v>0</v>
      </c>
      <c r="V64" s="24" t="n">
        <f aca="false">COUNTIF($B64:$E64,V$3)</f>
        <v>0</v>
      </c>
      <c r="W64" s="24" t="n">
        <f aca="false">COUNTIF($B64:$E64,W$3)</f>
        <v>0</v>
      </c>
      <c r="X64" s="24" t="n">
        <f aca="false">COUNTIF($B64:$E64,X$3)</f>
        <v>0</v>
      </c>
      <c r="Y64" s="24" t="n">
        <f aca="false">COUNTIF($B64:$E64,Y$3)</f>
        <v>0</v>
      </c>
      <c r="Z64" s="24" t="n">
        <f aca="false">COUNTIF($B64:$E64,Z$3)</f>
        <v>0</v>
      </c>
      <c r="AA64" s="24" t="n">
        <f aca="false">COUNTIF($B64:$E64,AA$3)</f>
        <v>0</v>
      </c>
      <c r="AB64" s="24" t="n">
        <f aca="false">COUNTIF($B64:$E64,AB$3)</f>
        <v>0</v>
      </c>
    </row>
    <row r="65" customFormat="false" ht="15" hidden="false" customHeight="false" outlineLevel="0" collapsed="false">
      <c r="A65" s="24" t="n">
        <f aca="false">Input!A65</f>
        <v>61</v>
      </c>
      <c r="B65" s="24" t="str">
        <f aca="false">IF(Input!B65="","",IF(B$3&gt;Input!$H$4,"",IFERROR(MATCH(Input!B65,Input!$H$10:$H$29,0),"ERR")))</f>
        <v/>
      </c>
      <c r="C65" s="24" t="str">
        <f aca="false">IF(Input!C65="","",IF(C$3&gt;Input!$H$4,"",IFERROR(MATCH(Input!C65,Input!$H$10:$H$29,0),"ERR")))</f>
        <v/>
      </c>
      <c r="D65" s="24" t="str">
        <f aca="false">IF(Input!D65="","",IF(D$3&gt;Input!$H$4,"",IFERROR(MATCH(Input!D65,Input!$H$10:$H$29,0),"ERR")))</f>
        <v/>
      </c>
      <c r="E65" s="24" t="str">
        <f aca="false">IF(Input!E65="","",IF(E$3&gt;Input!$H$4,"",IFERROR(MATCH(Input!E65,Input!$H$10:$H$29,0),"ERR")))</f>
        <v/>
      </c>
      <c r="F65" s="24" t="n">
        <f aca="false">COUNT(B65:E65)</f>
        <v>0</v>
      </c>
      <c r="G65" s="24" t="n">
        <f aca="false">COUNTIF(B65:E65,"ERR")</f>
        <v>0</v>
      </c>
      <c r="H65" s="25" t="n">
        <f aca="false">IF(F65&gt;=2,1/(F65-1),0)</f>
        <v>0</v>
      </c>
      <c r="I65" s="24" t="n">
        <f aca="false">COUNTIF($B65:$E65,I$3)</f>
        <v>0</v>
      </c>
      <c r="J65" s="24" t="n">
        <f aca="false">COUNTIF($B65:$E65,J$3)</f>
        <v>0</v>
      </c>
      <c r="K65" s="24" t="n">
        <f aca="false">COUNTIF($B65:$E65,K$3)</f>
        <v>0</v>
      </c>
      <c r="L65" s="24" t="n">
        <f aca="false">COUNTIF($B65:$E65,L$3)</f>
        <v>0</v>
      </c>
      <c r="M65" s="24" t="n">
        <f aca="false">COUNTIF($B65:$E65,M$3)</f>
        <v>0</v>
      </c>
      <c r="N65" s="24" t="n">
        <f aca="false">COUNTIF($B65:$E65,N$3)</f>
        <v>0</v>
      </c>
      <c r="O65" s="24" t="n">
        <f aca="false">COUNTIF($B65:$E65,O$3)</f>
        <v>0</v>
      </c>
      <c r="P65" s="24" t="n">
        <f aca="false">COUNTIF($B65:$E65,P$3)</f>
        <v>0</v>
      </c>
      <c r="Q65" s="24" t="n">
        <f aca="false">COUNTIF($B65:$E65,Q$3)</f>
        <v>0</v>
      </c>
      <c r="R65" s="24" t="n">
        <f aca="false">COUNTIF($B65:$E65,R$3)</f>
        <v>0</v>
      </c>
      <c r="S65" s="24" t="n">
        <f aca="false">COUNTIF($B65:$E65,S$3)</f>
        <v>0</v>
      </c>
      <c r="T65" s="24" t="n">
        <f aca="false">COUNTIF($B65:$E65,T$3)</f>
        <v>0</v>
      </c>
      <c r="U65" s="24" t="n">
        <f aca="false">COUNTIF($B65:$E65,U$3)</f>
        <v>0</v>
      </c>
      <c r="V65" s="24" t="n">
        <f aca="false">COUNTIF($B65:$E65,V$3)</f>
        <v>0</v>
      </c>
      <c r="W65" s="24" t="n">
        <f aca="false">COUNTIF($B65:$E65,W$3)</f>
        <v>0</v>
      </c>
      <c r="X65" s="24" t="n">
        <f aca="false">COUNTIF($B65:$E65,X$3)</f>
        <v>0</v>
      </c>
      <c r="Y65" s="24" t="n">
        <f aca="false">COUNTIF($B65:$E65,Y$3)</f>
        <v>0</v>
      </c>
      <c r="Z65" s="24" t="n">
        <f aca="false">COUNTIF($B65:$E65,Z$3)</f>
        <v>0</v>
      </c>
      <c r="AA65" s="24" t="n">
        <f aca="false">COUNTIF($B65:$E65,AA$3)</f>
        <v>0</v>
      </c>
      <c r="AB65" s="24" t="n">
        <f aca="false">COUNTIF($B65:$E65,AB$3)</f>
        <v>0</v>
      </c>
    </row>
    <row r="66" customFormat="false" ht="15" hidden="false" customHeight="false" outlineLevel="0" collapsed="false">
      <c r="A66" s="24" t="n">
        <f aca="false">Input!A66</f>
        <v>62</v>
      </c>
      <c r="B66" s="24" t="str">
        <f aca="false">IF(Input!B66="","",IF(B$3&gt;Input!$H$4,"",IFERROR(MATCH(Input!B66,Input!$H$10:$H$29,0),"ERR")))</f>
        <v/>
      </c>
      <c r="C66" s="24" t="str">
        <f aca="false">IF(Input!C66="","",IF(C$3&gt;Input!$H$4,"",IFERROR(MATCH(Input!C66,Input!$H$10:$H$29,0),"ERR")))</f>
        <v/>
      </c>
      <c r="D66" s="24" t="str">
        <f aca="false">IF(Input!D66="","",IF(D$3&gt;Input!$H$4,"",IFERROR(MATCH(Input!D66,Input!$H$10:$H$29,0),"ERR")))</f>
        <v/>
      </c>
      <c r="E66" s="24" t="str">
        <f aca="false">IF(Input!E66="","",IF(E$3&gt;Input!$H$4,"",IFERROR(MATCH(Input!E66,Input!$H$10:$H$29,0),"ERR")))</f>
        <v/>
      </c>
      <c r="F66" s="24" t="n">
        <f aca="false">COUNT(B66:E66)</f>
        <v>0</v>
      </c>
      <c r="G66" s="24" t="n">
        <f aca="false">COUNTIF(B66:E66,"ERR")</f>
        <v>0</v>
      </c>
      <c r="H66" s="25" t="n">
        <f aca="false">IF(F66&gt;=2,1/(F66-1),0)</f>
        <v>0</v>
      </c>
      <c r="I66" s="24" t="n">
        <f aca="false">COUNTIF($B66:$E66,I$3)</f>
        <v>0</v>
      </c>
      <c r="J66" s="24" t="n">
        <f aca="false">COUNTIF($B66:$E66,J$3)</f>
        <v>0</v>
      </c>
      <c r="K66" s="24" t="n">
        <f aca="false">COUNTIF($B66:$E66,K$3)</f>
        <v>0</v>
      </c>
      <c r="L66" s="24" t="n">
        <f aca="false">COUNTIF($B66:$E66,L$3)</f>
        <v>0</v>
      </c>
      <c r="M66" s="24" t="n">
        <f aca="false">COUNTIF($B66:$E66,M$3)</f>
        <v>0</v>
      </c>
      <c r="N66" s="24" t="n">
        <f aca="false">COUNTIF($B66:$E66,N$3)</f>
        <v>0</v>
      </c>
      <c r="O66" s="24" t="n">
        <f aca="false">COUNTIF($B66:$E66,O$3)</f>
        <v>0</v>
      </c>
      <c r="P66" s="24" t="n">
        <f aca="false">COUNTIF($B66:$E66,P$3)</f>
        <v>0</v>
      </c>
      <c r="Q66" s="24" t="n">
        <f aca="false">COUNTIF($B66:$E66,Q$3)</f>
        <v>0</v>
      </c>
      <c r="R66" s="24" t="n">
        <f aca="false">COUNTIF($B66:$E66,R$3)</f>
        <v>0</v>
      </c>
      <c r="S66" s="24" t="n">
        <f aca="false">COUNTIF($B66:$E66,S$3)</f>
        <v>0</v>
      </c>
      <c r="T66" s="24" t="n">
        <f aca="false">COUNTIF($B66:$E66,T$3)</f>
        <v>0</v>
      </c>
      <c r="U66" s="24" t="n">
        <f aca="false">COUNTIF($B66:$E66,U$3)</f>
        <v>0</v>
      </c>
      <c r="V66" s="24" t="n">
        <f aca="false">COUNTIF($B66:$E66,V$3)</f>
        <v>0</v>
      </c>
      <c r="W66" s="24" t="n">
        <f aca="false">COUNTIF($B66:$E66,W$3)</f>
        <v>0</v>
      </c>
      <c r="X66" s="24" t="n">
        <f aca="false">COUNTIF($B66:$E66,X$3)</f>
        <v>0</v>
      </c>
      <c r="Y66" s="24" t="n">
        <f aca="false">COUNTIF($B66:$E66,Y$3)</f>
        <v>0</v>
      </c>
      <c r="Z66" s="24" t="n">
        <f aca="false">COUNTIF($B66:$E66,Z$3)</f>
        <v>0</v>
      </c>
      <c r="AA66" s="24" t="n">
        <f aca="false">COUNTIF($B66:$E66,AA$3)</f>
        <v>0</v>
      </c>
      <c r="AB66" s="24" t="n">
        <f aca="false">COUNTIF($B66:$E66,AB$3)</f>
        <v>0</v>
      </c>
    </row>
    <row r="67" customFormat="false" ht="15" hidden="false" customHeight="false" outlineLevel="0" collapsed="false">
      <c r="A67" s="24" t="n">
        <f aca="false">Input!A67</f>
        <v>63</v>
      </c>
      <c r="B67" s="24" t="str">
        <f aca="false">IF(Input!B67="","",IF(B$3&gt;Input!$H$4,"",IFERROR(MATCH(Input!B67,Input!$H$10:$H$29,0),"ERR")))</f>
        <v/>
      </c>
      <c r="C67" s="24" t="str">
        <f aca="false">IF(Input!C67="","",IF(C$3&gt;Input!$H$4,"",IFERROR(MATCH(Input!C67,Input!$H$10:$H$29,0),"ERR")))</f>
        <v/>
      </c>
      <c r="D67" s="24" t="str">
        <f aca="false">IF(Input!D67="","",IF(D$3&gt;Input!$H$4,"",IFERROR(MATCH(Input!D67,Input!$H$10:$H$29,0),"ERR")))</f>
        <v/>
      </c>
      <c r="E67" s="24" t="str">
        <f aca="false">IF(Input!E67="","",IF(E$3&gt;Input!$H$4,"",IFERROR(MATCH(Input!E67,Input!$H$10:$H$29,0),"ERR")))</f>
        <v/>
      </c>
      <c r="F67" s="24" t="n">
        <f aca="false">COUNT(B67:E67)</f>
        <v>0</v>
      </c>
      <c r="G67" s="24" t="n">
        <f aca="false">COUNTIF(B67:E67,"ERR")</f>
        <v>0</v>
      </c>
      <c r="H67" s="25" t="n">
        <f aca="false">IF(F67&gt;=2,1/(F67-1),0)</f>
        <v>0</v>
      </c>
      <c r="I67" s="24" t="n">
        <f aca="false">COUNTIF($B67:$E67,I$3)</f>
        <v>0</v>
      </c>
      <c r="J67" s="24" t="n">
        <f aca="false">COUNTIF($B67:$E67,J$3)</f>
        <v>0</v>
      </c>
      <c r="K67" s="24" t="n">
        <f aca="false">COUNTIF($B67:$E67,K$3)</f>
        <v>0</v>
      </c>
      <c r="L67" s="24" t="n">
        <f aca="false">COUNTIF($B67:$E67,L$3)</f>
        <v>0</v>
      </c>
      <c r="M67" s="24" t="n">
        <f aca="false">COUNTIF($B67:$E67,M$3)</f>
        <v>0</v>
      </c>
      <c r="N67" s="24" t="n">
        <f aca="false">COUNTIF($B67:$E67,N$3)</f>
        <v>0</v>
      </c>
      <c r="O67" s="24" t="n">
        <f aca="false">COUNTIF($B67:$E67,O$3)</f>
        <v>0</v>
      </c>
      <c r="P67" s="24" t="n">
        <f aca="false">COUNTIF($B67:$E67,P$3)</f>
        <v>0</v>
      </c>
      <c r="Q67" s="24" t="n">
        <f aca="false">COUNTIF($B67:$E67,Q$3)</f>
        <v>0</v>
      </c>
      <c r="R67" s="24" t="n">
        <f aca="false">COUNTIF($B67:$E67,R$3)</f>
        <v>0</v>
      </c>
      <c r="S67" s="24" t="n">
        <f aca="false">COUNTIF($B67:$E67,S$3)</f>
        <v>0</v>
      </c>
      <c r="T67" s="24" t="n">
        <f aca="false">COUNTIF($B67:$E67,T$3)</f>
        <v>0</v>
      </c>
      <c r="U67" s="24" t="n">
        <f aca="false">COUNTIF($B67:$E67,U$3)</f>
        <v>0</v>
      </c>
      <c r="V67" s="24" t="n">
        <f aca="false">COUNTIF($B67:$E67,V$3)</f>
        <v>0</v>
      </c>
      <c r="W67" s="24" t="n">
        <f aca="false">COUNTIF($B67:$E67,W$3)</f>
        <v>0</v>
      </c>
      <c r="X67" s="24" t="n">
        <f aca="false">COUNTIF($B67:$E67,X$3)</f>
        <v>0</v>
      </c>
      <c r="Y67" s="24" t="n">
        <f aca="false">COUNTIF($B67:$E67,Y$3)</f>
        <v>0</v>
      </c>
      <c r="Z67" s="24" t="n">
        <f aca="false">COUNTIF($B67:$E67,Z$3)</f>
        <v>0</v>
      </c>
      <c r="AA67" s="24" t="n">
        <f aca="false">COUNTIF($B67:$E67,AA$3)</f>
        <v>0</v>
      </c>
      <c r="AB67" s="24" t="n">
        <f aca="false">COUNTIF($B67:$E67,AB$3)</f>
        <v>0</v>
      </c>
    </row>
    <row r="68" customFormat="false" ht="15" hidden="false" customHeight="false" outlineLevel="0" collapsed="false">
      <c r="A68" s="24" t="n">
        <f aca="false">Input!A68</f>
        <v>64</v>
      </c>
      <c r="B68" s="24" t="str">
        <f aca="false">IF(Input!B68="","",IF(B$3&gt;Input!$H$4,"",IFERROR(MATCH(Input!B68,Input!$H$10:$H$29,0),"ERR")))</f>
        <v/>
      </c>
      <c r="C68" s="24" t="str">
        <f aca="false">IF(Input!C68="","",IF(C$3&gt;Input!$H$4,"",IFERROR(MATCH(Input!C68,Input!$H$10:$H$29,0),"ERR")))</f>
        <v/>
      </c>
      <c r="D68" s="24" t="str">
        <f aca="false">IF(Input!D68="","",IF(D$3&gt;Input!$H$4,"",IFERROR(MATCH(Input!D68,Input!$H$10:$H$29,0),"ERR")))</f>
        <v/>
      </c>
      <c r="E68" s="24" t="str">
        <f aca="false">IF(Input!E68="","",IF(E$3&gt;Input!$H$4,"",IFERROR(MATCH(Input!E68,Input!$H$10:$H$29,0),"ERR")))</f>
        <v/>
      </c>
      <c r="F68" s="24" t="n">
        <f aca="false">COUNT(B68:E68)</f>
        <v>0</v>
      </c>
      <c r="G68" s="24" t="n">
        <f aca="false">COUNTIF(B68:E68,"ERR")</f>
        <v>0</v>
      </c>
      <c r="H68" s="25" t="n">
        <f aca="false">IF(F68&gt;=2,1/(F68-1),0)</f>
        <v>0</v>
      </c>
      <c r="I68" s="24" t="n">
        <f aca="false">COUNTIF($B68:$E68,I$3)</f>
        <v>0</v>
      </c>
      <c r="J68" s="24" t="n">
        <f aca="false">COUNTIF($B68:$E68,J$3)</f>
        <v>0</v>
      </c>
      <c r="K68" s="24" t="n">
        <f aca="false">COUNTIF($B68:$E68,K$3)</f>
        <v>0</v>
      </c>
      <c r="L68" s="24" t="n">
        <f aca="false">COUNTIF($B68:$E68,L$3)</f>
        <v>0</v>
      </c>
      <c r="M68" s="24" t="n">
        <f aca="false">COUNTIF($B68:$E68,M$3)</f>
        <v>0</v>
      </c>
      <c r="N68" s="24" t="n">
        <f aca="false">COUNTIF($B68:$E68,N$3)</f>
        <v>0</v>
      </c>
      <c r="O68" s="24" t="n">
        <f aca="false">COUNTIF($B68:$E68,O$3)</f>
        <v>0</v>
      </c>
      <c r="P68" s="24" t="n">
        <f aca="false">COUNTIF($B68:$E68,P$3)</f>
        <v>0</v>
      </c>
      <c r="Q68" s="24" t="n">
        <f aca="false">COUNTIF($B68:$E68,Q$3)</f>
        <v>0</v>
      </c>
      <c r="R68" s="24" t="n">
        <f aca="false">COUNTIF($B68:$E68,R$3)</f>
        <v>0</v>
      </c>
      <c r="S68" s="24" t="n">
        <f aca="false">COUNTIF($B68:$E68,S$3)</f>
        <v>0</v>
      </c>
      <c r="T68" s="24" t="n">
        <f aca="false">COUNTIF($B68:$E68,T$3)</f>
        <v>0</v>
      </c>
      <c r="U68" s="24" t="n">
        <f aca="false">COUNTIF($B68:$E68,U$3)</f>
        <v>0</v>
      </c>
      <c r="V68" s="24" t="n">
        <f aca="false">COUNTIF($B68:$E68,V$3)</f>
        <v>0</v>
      </c>
      <c r="W68" s="24" t="n">
        <f aca="false">COUNTIF($B68:$E68,W$3)</f>
        <v>0</v>
      </c>
      <c r="X68" s="24" t="n">
        <f aca="false">COUNTIF($B68:$E68,X$3)</f>
        <v>0</v>
      </c>
      <c r="Y68" s="24" t="n">
        <f aca="false">COUNTIF($B68:$E68,Y$3)</f>
        <v>0</v>
      </c>
      <c r="Z68" s="24" t="n">
        <f aca="false">COUNTIF($B68:$E68,Z$3)</f>
        <v>0</v>
      </c>
      <c r="AA68" s="24" t="n">
        <f aca="false">COUNTIF($B68:$E68,AA$3)</f>
        <v>0</v>
      </c>
      <c r="AB68" s="24" t="n">
        <f aca="false">COUNTIF($B68:$E68,AB$3)</f>
        <v>0</v>
      </c>
    </row>
    <row r="69" customFormat="false" ht="15" hidden="false" customHeight="false" outlineLevel="0" collapsed="false">
      <c r="A69" s="24" t="n">
        <f aca="false">Input!A69</f>
        <v>65</v>
      </c>
      <c r="B69" s="24" t="str">
        <f aca="false">IF(Input!B69="","",IF(B$3&gt;Input!$H$4,"",IFERROR(MATCH(Input!B69,Input!$H$10:$H$29,0),"ERR")))</f>
        <v/>
      </c>
      <c r="C69" s="24" t="str">
        <f aca="false">IF(Input!C69="","",IF(C$3&gt;Input!$H$4,"",IFERROR(MATCH(Input!C69,Input!$H$10:$H$29,0),"ERR")))</f>
        <v/>
      </c>
      <c r="D69" s="24" t="str">
        <f aca="false">IF(Input!D69="","",IF(D$3&gt;Input!$H$4,"",IFERROR(MATCH(Input!D69,Input!$H$10:$H$29,0),"ERR")))</f>
        <v/>
      </c>
      <c r="E69" s="24" t="str">
        <f aca="false">IF(Input!E69="","",IF(E$3&gt;Input!$H$4,"",IFERROR(MATCH(Input!E69,Input!$H$10:$H$29,0),"ERR")))</f>
        <v/>
      </c>
      <c r="F69" s="24" t="n">
        <f aca="false">COUNT(B69:E69)</f>
        <v>0</v>
      </c>
      <c r="G69" s="24" t="n">
        <f aca="false">COUNTIF(B69:E69,"ERR")</f>
        <v>0</v>
      </c>
      <c r="H69" s="25" t="n">
        <f aca="false">IF(F69&gt;=2,1/(F69-1),0)</f>
        <v>0</v>
      </c>
      <c r="I69" s="24" t="n">
        <f aca="false">COUNTIF($B69:$E69,I$3)</f>
        <v>0</v>
      </c>
      <c r="J69" s="24" t="n">
        <f aca="false">COUNTIF($B69:$E69,J$3)</f>
        <v>0</v>
      </c>
      <c r="K69" s="24" t="n">
        <f aca="false">COUNTIF($B69:$E69,K$3)</f>
        <v>0</v>
      </c>
      <c r="L69" s="24" t="n">
        <f aca="false">COUNTIF($B69:$E69,L$3)</f>
        <v>0</v>
      </c>
      <c r="M69" s="24" t="n">
        <f aca="false">COUNTIF($B69:$E69,M$3)</f>
        <v>0</v>
      </c>
      <c r="N69" s="24" t="n">
        <f aca="false">COUNTIF($B69:$E69,N$3)</f>
        <v>0</v>
      </c>
      <c r="O69" s="24" t="n">
        <f aca="false">COUNTIF($B69:$E69,O$3)</f>
        <v>0</v>
      </c>
      <c r="P69" s="24" t="n">
        <f aca="false">COUNTIF($B69:$E69,P$3)</f>
        <v>0</v>
      </c>
      <c r="Q69" s="24" t="n">
        <f aca="false">COUNTIF($B69:$E69,Q$3)</f>
        <v>0</v>
      </c>
      <c r="R69" s="24" t="n">
        <f aca="false">COUNTIF($B69:$E69,R$3)</f>
        <v>0</v>
      </c>
      <c r="S69" s="24" t="n">
        <f aca="false">COUNTIF($B69:$E69,S$3)</f>
        <v>0</v>
      </c>
      <c r="T69" s="24" t="n">
        <f aca="false">COUNTIF($B69:$E69,T$3)</f>
        <v>0</v>
      </c>
      <c r="U69" s="24" t="n">
        <f aca="false">COUNTIF($B69:$E69,U$3)</f>
        <v>0</v>
      </c>
      <c r="V69" s="24" t="n">
        <f aca="false">COUNTIF($B69:$E69,V$3)</f>
        <v>0</v>
      </c>
      <c r="W69" s="24" t="n">
        <f aca="false">COUNTIF($B69:$E69,W$3)</f>
        <v>0</v>
      </c>
      <c r="X69" s="24" t="n">
        <f aca="false">COUNTIF($B69:$E69,X$3)</f>
        <v>0</v>
      </c>
      <c r="Y69" s="24" t="n">
        <f aca="false">COUNTIF($B69:$E69,Y$3)</f>
        <v>0</v>
      </c>
      <c r="Z69" s="24" t="n">
        <f aca="false">COUNTIF($B69:$E69,Z$3)</f>
        <v>0</v>
      </c>
      <c r="AA69" s="24" t="n">
        <f aca="false">COUNTIF($B69:$E69,AA$3)</f>
        <v>0</v>
      </c>
      <c r="AB69" s="24" t="n">
        <f aca="false">COUNTIF($B69:$E69,AB$3)</f>
        <v>0</v>
      </c>
    </row>
    <row r="70" customFormat="false" ht="15" hidden="false" customHeight="false" outlineLevel="0" collapsed="false">
      <c r="A70" s="24" t="n">
        <f aca="false">Input!A70</f>
        <v>66</v>
      </c>
      <c r="B70" s="24" t="str">
        <f aca="false">IF(Input!B70="","",IF(B$3&gt;Input!$H$4,"",IFERROR(MATCH(Input!B70,Input!$H$10:$H$29,0),"ERR")))</f>
        <v/>
      </c>
      <c r="C70" s="24" t="str">
        <f aca="false">IF(Input!C70="","",IF(C$3&gt;Input!$H$4,"",IFERROR(MATCH(Input!C70,Input!$H$10:$H$29,0),"ERR")))</f>
        <v/>
      </c>
      <c r="D70" s="24" t="str">
        <f aca="false">IF(Input!D70="","",IF(D$3&gt;Input!$H$4,"",IFERROR(MATCH(Input!D70,Input!$H$10:$H$29,0),"ERR")))</f>
        <v/>
      </c>
      <c r="E70" s="24" t="str">
        <f aca="false">IF(Input!E70="","",IF(E$3&gt;Input!$H$4,"",IFERROR(MATCH(Input!E70,Input!$H$10:$H$29,0),"ERR")))</f>
        <v/>
      </c>
      <c r="F70" s="24" t="n">
        <f aca="false">COUNT(B70:E70)</f>
        <v>0</v>
      </c>
      <c r="G70" s="24" t="n">
        <f aca="false">COUNTIF(B70:E70,"ERR")</f>
        <v>0</v>
      </c>
      <c r="H70" s="25" t="n">
        <f aca="false">IF(F70&gt;=2,1/(F70-1),0)</f>
        <v>0</v>
      </c>
      <c r="I70" s="24" t="n">
        <f aca="false">COUNTIF($B70:$E70,I$3)</f>
        <v>0</v>
      </c>
      <c r="J70" s="24" t="n">
        <f aca="false">COUNTIF($B70:$E70,J$3)</f>
        <v>0</v>
      </c>
      <c r="K70" s="24" t="n">
        <f aca="false">COUNTIF($B70:$E70,K$3)</f>
        <v>0</v>
      </c>
      <c r="L70" s="24" t="n">
        <f aca="false">COUNTIF($B70:$E70,L$3)</f>
        <v>0</v>
      </c>
      <c r="M70" s="24" t="n">
        <f aca="false">COUNTIF($B70:$E70,M$3)</f>
        <v>0</v>
      </c>
      <c r="N70" s="24" t="n">
        <f aca="false">COUNTIF($B70:$E70,N$3)</f>
        <v>0</v>
      </c>
      <c r="O70" s="24" t="n">
        <f aca="false">COUNTIF($B70:$E70,O$3)</f>
        <v>0</v>
      </c>
      <c r="P70" s="24" t="n">
        <f aca="false">COUNTIF($B70:$E70,P$3)</f>
        <v>0</v>
      </c>
      <c r="Q70" s="24" t="n">
        <f aca="false">COUNTIF($B70:$E70,Q$3)</f>
        <v>0</v>
      </c>
      <c r="R70" s="24" t="n">
        <f aca="false">COUNTIF($B70:$E70,R$3)</f>
        <v>0</v>
      </c>
      <c r="S70" s="24" t="n">
        <f aca="false">COUNTIF($B70:$E70,S$3)</f>
        <v>0</v>
      </c>
      <c r="T70" s="24" t="n">
        <f aca="false">COUNTIF($B70:$E70,T$3)</f>
        <v>0</v>
      </c>
      <c r="U70" s="24" t="n">
        <f aca="false">COUNTIF($B70:$E70,U$3)</f>
        <v>0</v>
      </c>
      <c r="V70" s="24" t="n">
        <f aca="false">COUNTIF($B70:$E70,V$3)</f>
        <v>0</v>
      </c>
      <c r="W70" s="24" t="n">
        <f aca="false">COUNTIF($B70:$E70,W$3)</f>
        <v>0</v>
      </c>
      <c r="X70" s="24" t="n">
        <f aca="false">COUNTIF($B70:$E70,X$3)</f>
        <v>0</v>
      </c>
      <c r="Y70" s="24" t="n">
        <f aca="false">COUNTIF($B70:$E70,Y$3)</f>
        <v>0</v>
      </c>
      <c r="Z70" s="24" t="n">
        <f aca="false">COUNTIF($B70:$E70,Z$3)</f>
        <v>0</v>
      </c>
      <c r="AA70" s="24" t="n">
        <f aca="false">COUNTIF($B70:$E70,AA$3)</f>
        <v>0</v>
      </c>
      <c r="AB70" s="24" t="n">
        <f aca="false">COUNTIF($B70:$E70,AB$3)</f>
        <v>0</v>
      </c>
    </row>
    <row r="71" customFormat="false" ht="15" hidden="false" customHeight="false" outlineLevel="0" collapsed="false">
      <c r="A71" s="24" t="n">
        <f aca="false">Input!A71</f>
        <v>67</v>
      </c>
      <c r="B71" s="24" t="str">
        <f aca="false">IF(Input!B71="","",IF(B$3&gt;Input!$H$4,"",IFERROR(MATCH(Input!B71,Input!$H$10:$H$29,0),"ERR")))</f>
        <v/>
      </c>
      <c r="C71" s="24" t="str">
        <f aca="false">IF(Input!C71="","",IF(C$3&gt;Input!$H$4,"",IFERROR(MATCH(Input!C71,Input!$H$10:$H$29,0),"ERR")))</f>
        <v/>
      </c>
      <c r="D71" s="24" t="str">
        <f aca="false">IF(Input!D71="","",IF(D$3&gt;Input!$H$4,"",IFERROR(MATCH(Input!D71,Input!$H$10:$H$29,0),"ERR")))</f>
        <v/>
      </c>
      <c r="E71" s="24" t="str">
        <f aca="false">IF(Input!E71="","",IF(E$3&gt;Input!$H$4,"",IFERROR(MATCH(Input!E71,Input!$H$10:$H$29,0),"ERR")))</f>
        <v/>
      </c>
      <c r="F71" s="24" t="n">
        <f aca="false">COUNT(B71:E71)</f>
        <v>0</v>
      </c>
      <c r="G71" s="24" t="n">
        <f aca="false">COUNTIF(B71:E71,"ERR")</f>
        <v>0</v>
      </c>
      <c r="H71" s="25" t="n">
        <f aca="false">IF(F71&gt;=2,1/(F71-1),0)</f>
        <v>0</v>
      </c>
      <c r="I71" s="24" t="n">
        <f aca="false">COUNTIF($B71:$E71,I$3)</f>
        <v>0</v>
      </c>
      <c r="J71" s="24" t="n">
        <f aca="false">COUNTIF($B71:$E71,J$3)</f>
        <v>0</v>
      </c>
      <c r="K71" s="24" t="n">
        <f aca="false">COUNTIF($B71:$E71,K$3)</f>
        <v>0</v>
      </c>
      <c r="L71" s="24" t="n">
        <f aca="false">COUNTIF($B71:$E71,L$3)</f>
        <v>0</v>
      </c>
      <c r="M71" s="24" t="n">
        <f aca="false">COUNTIF($B71:$E71,M$3)</f>
        <v>0</v>
      </c>
      <c r="N71" s="24" t="n">
        <f aca="false">COUNTIF($B71:$E71,N$3)</f>
        <v>0</v>
      </c>
      <c r="O71" s="24" t="n">
        <f aca="false">COUNTIF($B71:$E71,O$3)</f>
        <v>0</v>
      </c>
      <c r="P71" s="24" t="n">
        <f aca="false">COUNTIF($B71:$E71,P$3)</f>
        <v>0</v>
      </c>
      <c r="Q71" s="24" t="n">
        <f aca="false">COUNTIF($B71:$E71,Q$3)</f>
        <v>0</v>
      </c>
      <c r="R71" s="24" t="n">
        <f aca="false">COUNTIF($B71:$E71,R$3)</f>
        <v>0</v>
      </c>
      <c r="S71" s="24" t="n">
        <f aca="false">COUNTIF($B71:$E71,S$3)</f>
        <v>0</v>
      </c>
      <c r="T71" s="24" t="n">
        <f aca="false">COUNTIF($B71:$E71,T$3)</f>
        <v>0</v>
      </c>
      <c r="U71" s="24" t="n">
        <f aca="false">COUNTIF($B71:$E71,U$3)</f>
        <v>0</v>
      </c>
      <c r="V71" s="24" t="n">
        <f aca="false">COUNTIF($B71:$E71,V$3)</f>
        <v>0</v>
      </c>
      <c r="W71" s="24" t="n">
        <f aca="false">COUNTIF($B71:$E71,W$3)</f>
        <v>0</v>
      </c>
      <c r="X71" s="24" t="n">
        <f aca="false">COUNTIF($B71:$E71,X$3)</f>
        <v>0</v>
      </c>
      <c r="Y71" s="24" t="n">
        <f aca="false">COUNTIF($B71:$E71,Y$3)</f>
        <v>0</v>
      </c>
      <c r="Z71" s="24" t="n">
        <f aca="false">COUNTIF($B71:$E71,Z$3)</f>
        <v>0</v>
      </c>
      <c r="AA71" s="24" t="n">
        <f aca="false">COUNTIF($B71:$E71,AA$3)</f>
        <v>0</v>
      </c>
      <c r="AB71" s="24" t="n">
        <f aca="false">COUNTIF($B71:$E71,AB$3)</f>
        <v>0</v>
      </c>
    </row>
    <row r="72" customFormat="false" ht="15" hidden="false" customHeight="false" outlineLevel="0" collapsed="false">
      <c r="A72" s="24" t="n">
        <f aca="false">Input!A72</f>
        <v>68</v>
      </c>
      <c r="B72" s="24" t="str">
        <f aca="false">IF(Input!B72="","",IF(B$3&gt;Input!$H$4,"",IFERROR(MATCH(Input!B72,Input!$H$10:$H$29,0),"ERR")))</f>
        <v/>
      </c>
      <c r="C72" s="24" t="str">
        <f aca="false">IF(Input!C72="","",IF(C$3&gt;Input!$H$4,"",IFERROR(MATCH(Input!C72,Input!$H$10:$H$29,0),"ERR")))</f>
        <v/>
      </c>
      <c r="D72" s="24" t="str">
        <f aca="false">IF(Input!D72="","",IF(D$3&gt;Input!$H$4,"",IFERROR(MATCH(Input!D72,Input!$H$10:$H$29,0),"ERR")))</f>
        <v/>
      </c>
      <c r="E72" s="24" t="str">
        <f aca="false">IF(Input!E72="","",IF(E$3&gt;Input!$H$4,"",IFERROR(MATCH(Input!E72,Input!$H$10:$H$29,0),"ERR")))</f>
        <v/>
      </c>
      <c r="F72" s="24" t="n">
        <f aca="false">COUNT(B72:E72)</f>
        <v>0</v>
      </c>
      <c r="G72" s="24" t="n">
        <f aca="false">COUNTIF(B72:E72,"ERR")</f>
        <v>0</v>
      </c>
      <c r="H72" s="25" t="n">
        <f aca="false">IF(F72&gt;=2,1/(F72-1),0)</f>
        <v>0</v>
      </c>
      <c r="I72" s="24" t="n">
        <f aca="false">COUNTIF($B72:$E72,I$3)</f>
        <v>0</v>
      </c>
      <c r="J72" s="24" t="n">
        <f aca="false">COUNTIF($B72:$E72,J$3)</f>
        <v>0</v>
      </c>
      <c r="K72" s="24" t="n">
        <f aca="false">COUNTIF($B72:$E72,K$3)</f>
        <v>0</v>
      </c>
      <c r="L72" s="24" t="n">
        <f aca="false">COUNTIF($B72:$E72,L$3)</f>
        <v>0</v>
      </c>
      <c r="M72" s="24" t="n">
        <f aca="false">COUNTIF($B72:$E72,M$3)</f>
        <v>0</v>
      </c>
      <c r="N72" s="24" t="n">
        <f aca="false">COUNTIF($B72:$E72,N$3)</f>
        <v>0</v>
      </c>
      <c r="O72" s="24" t="n">
        <f aca="false">COUNTIF($B72:$E72,O$3)</f>
        <v>0</v>
      </c>
      <c r="P72" s="24" t="n">
        <f aca="false">COUNTIF($B72:$E72,P$3)</f>
        <v>0</v>
      </c>
      <c r="Q72" s="24" t="n">
        <f aca="false">COUNTIF($B72:$E72,Q$3)</f>
        <v>0</v>
      </c>
      <c r="R72" s="24" t="n">
        <f aca="false">COUNTIF($B72:$E72,R$3)</f>
        <v>0</v>
      </c>
      <c r="S72" s="24" t="n">
        <f aca="false">COUNTIF($B72:$E72,S$3)</f>
        <v>0</v>
      </c>
      <c r="T72" s="24" t="n">
        <f aca="false">COUNTIF($B72:$E72,T$3)</f>
        <v>0</v>
      </c>
      <c r="U72" s="24" t="n">
        <f aca="false">COUNTIF($B72:$E72,U$3)</f>
        <v>0</v>
      </c>
      <c r="V72" s="24" t="n">
        <f aca="false">COUNTIF($B72:$E72,V$3)</f>
        <v>0</v>
      </c>
      <c r="W72" s="24" t="n">
        <f aca="false">COUNTIF($B72:$E72,W$3)</f>
        <v>0</v>
      </c>
      <c r="X72" s="24" t="n">
        <f aca="false">COUNTIF($B72:$E72,X$3)</f>
        <v>0</v>
      </c>
      <c r="Y72" s="24" t="n">
        <f aca="false">COUNTIF($B72:$E72,Y$3)</f>
        <v>0</v>
      </c>
      <c r="Z72" s="24" t="n">
        <f aca="false">COUNTIF($B72:$E72,Z$3)</f>
        <v>0</v>
      </c>
      <c r="AA72" s="24" t="n">
        <f aca="false">COUNTIF($B72:$E72,AA$3)</f>
        <v>0</v>
      </c>
      <c r="AB72" s="24" t="n">
        <f aca="false">COUNTIF($B72:$E72,AB$3)</f>
        <v>0</v>
      </c>
    </row>
    <row r="73" customFormat="false" ht="15" hidden="false" customHeight="false" outlineLevel="0" collapsed="false">
      <c r="A73" s="24" t="n">
        <f aca="false">Input!A73</f>
        <v>69</v>
      </c>
      <c r="B73" s="24" t="str">
        <f aca="false">IF(Input!B73="","",IF(B$3&gt;Input!$H$4,"",IFERROR(MATCH(Input!B73,Input!$H$10:$H$29,0),"ERR")))</f>
        <v/>
      </c>
      <c r="C73" s="24" t="str">
        <f aca="false">IF(Input!C73="","",IF(C$3&gt;Input!$H$4,"",IFERROR(MATCH(Input!C73,Input!$H$10:$H$29,0),"ERR")))</f>
        <v/>
      </c>
      <c r="D73" s="24" t="str">
        <f aca="false">IF(Input!D73="","",IF(D$3&gt;Input!$H$4,"",IFERROR(MATCH(Input!D73,Input!$H$10:$H$29,0),"ERR")))</f>
        <v/>
      </c>
      <c r="E73" s="24" t="str">
        <f aca="false">IF(Input!E73="","",IF(E$3&gt;Input!$H$4,"",IFERROR(MATCH(Input!E73,Input!$H$10:$H$29,0),"ERR")))</f>
        <v/>
      </c>
      <c r="F73" s="24" t="n">
        <f aca="false">COUNT(B73:E73)</f>
        <v>0</v>
      </c>
      <c r="G73" s="24" t="n">
        <f aca="false">COUNTIF(B73:E73,"ERR")</f>
        <v>0</v>
      </c>
      <c r="H73" s="25" t="n">
        <f aca="false">IF(F73&gt;=2,1/(F73-1),0)</f>
        <v>0</v>
      </c>
      <c r="I73" s="24" t="n">
        <f aca="false">COUNTIF($B73:$E73,I$3)</f>
        <v>0</v>
      </c>
      <c r="J73" s="24" t="n">
        <f aca="false">COUNTIF($B73:$E73,J$3)</f>
        <v>0</v>
      </c>
      <c r="K73" s="24" t="n">
        <f aca="false">COUNTIF($B73:$E73,K$3)</f>
        <v>0</v>
      </c>
      <c r="L73" s="24" t="n">
        <f aca="false">COUNTIF($B73:$E73,L$3)</f>
        <v>0</v>
      </c>
      <c r="M73" s="24" t="n">
        <f aca="false">COUNTIF($B73:$E73,M$3)</f>
        <v>0</v>
      </c>
      <c r="N73" s="24" t="n">
        <f aca="false">COUNTIF($B73:$E73,N$3)</f>
        <v>0</v>
      </c>
      <c r="O73" s="24" t="n">
        <f aca="false">COUNTIF($B73:$E73,O$3)</f>
        <v>0</v>
      </c>
      <c r="P73" s="24" t="n">
        <f aca="false">COUNTIF($B73:$E73,P$3)</f>
        <v>0</v>
      </c>
      <c r="Q73" s="24" t="n">
        <f aca="false">COUNTIF($B73:$E73,Q$3)</f>
        <v>0</v>
      </c>
      <c r="R73" s="24" t="n">
        <f aca="false">COUNTIF($B73:$E73,R$3)</f>
        <v>0</v>
      </c>
      <c r="S73" s="24" t="n">
        <f aca="false">COUNTIF($B73:$E73,S$3)</f>
        <v>0</v>
      </c>
      <c r="T73" s="24" t="n">
        <f aca="false">COUNTIF($B73:$E73,T$3)</f>
        <v>0</v>
      </c>
      <c r="U73" s="24" t="n">
        <f aca="false">COUNTIF($B73:$E73,U$3)</f>
        <v>0</v>
      </c>
      <c r="V73" s="24" t="n">
        <f aca="false">COUNTIF($B73:$E73,V$3)</f>
        <v>0</v>
      </c>
      <c r="W73" s="24" t="n">
        <f aca="false">COUNTIF($B73:$E73,W$3)</f>
        <v>0</v>
      </c>
      <c r="X73" s="24" t="n">
        <f aca="false">COUNTIF($B73:$E73,X$3)</f>
        <v>0</v>
      </c>
      <c r="Y73" s="24" t="n">
        <f aca="false">COUNTIF($B73:$E73,Y$3)</f>
        <v>0</v>
      </c>
      <c r="Z73" s="24" t="n">
        <f aca="false">COUNTIF($B73:$E73,Z$3)</f>
        <v>0</v>
      </c>
      <c r="AA73" s="24" t="n">
        <f aca="false">COUNTIF($B73:$E73,AA$3)</f>
        <v>0</v>
      </c>
      <c r="AB73" s="24" t="n">
        <f aca="false">COUNTIF($B73:$E73,AB$3)</f>
        <v>0</v>
      </c>
    </row>
    <row r="74" customFormat="false" ht="15" hidden="false" customHeight="false" outlineLevel="0" collapsed="false">
      <c r="A74" s="24" t="n">
        <f aca="false">Input!A74</f>
        <v>70</v>
      </c>
      <c r="B74" s="24" t="str">
        <f aca="false">IF(Input!B74="","",IF(B$3&gt;Input!$H$4,"",IFERROR(MATCH(Input!B74,Input!$H$10:$H$29,0),"ERR")))</f>
        <v/>
      </c>
      <c r="C74" s="24" t="str">
        <f aca="false">IF(Input!C74="","",IF(C$3&gt;Input!$H$4,"",IFERROR(MATCH(Input!C74,Input!$H$10:$H$29,0),"ERR")))</f>
        <v/>
      </c>
      <c r="D74" s="24" t="str">
        <f aca="false">IF(Input!D74="","",IF(D$3&gt;Input!$H$4,"",IFERROR(MATCH(Input!D74,Input!$H$10:$H$29,0),"ERR")))</f>
        <v/>
      </c>
      <c r="E74" s="24" t="str">
        <f aca="false">IF(Input!E74="","",IF(E$3&gt;Input!$H$4,"",IFERROR(MATCH(Input!E74,Input!$H$10:$H$29,0),"ERR")))</f>
        <v/>
      </c>
      <c r="F74" s="24" t="n">
        <f aca="false">COUNT(B74:E74)</f>
        <v>0</v>
      </c>
      <c r="G74" s="24" t="n">
        <f aca="false">COUNTIF(B74:E74,"ERR")</f>
        <v>0</v>
      </c>
      <c r="H74" s="25" t="n">
        <f aca="false">IF(F74&gt;=2,1/(F74-1),0)</f>
        <v>0</v>
      </c>
      <c r="I74" s="24" t="n">
        <f aca="false">COUNTIF($B74:$E74,I$3)</f>
        <v>0</v>
      </c>
      <c r="J74" s="24" t="n">
        <f aca="false">COUNTIF($B74:$E74,J$3)</f>
        <v>0</v>
      </c>
      <c r="K74" s="24" t="n">
        <f aca="false">COUNTIF($B74:$E74,K$3)</f>
        <v>0</v>
      </c>
      <c r="L74" s="24" t="n">
        <f aca="false">COUNTIF($B74:$E74,L$3)</f>
        <v>0</v>
      </c>
      <c r="M74" s="24" t="n">
        <f aca="false">COUNTIF($B74:$E74,M$3)</f>
        <v>0</v>
      </c>
      <c r="N74" s="24" t="n">
        <f aca="false">COUNTIF($B74:$E74,N$3)</f>
        <v>0</v>
      </c>
      <c r="O74" s="24" t="n">
        <f aca="false">COUNTIF($B74:$E74,O$3)</f>
        <v>0</v>
      </c>
      <c r="P74" s="24" t="n">
        <f aca="false">COUNTIF($B74:$E74,P$3)</f>
        <v>0</v>
      </c>
      <c r="Q74" s="24" t="n">
        <f aca="false">COUNTIF($B74:$E74,Q$3)</f>
        <v>0</v>
      </c>
      <c r="R74" s="24" t="n">
        <f aca="false">COUNTIF($B74:$E74,R$3)</f>
        <v>0</v>
      </c>
      <c r="S74" s="24" t="n">
        <f aca="false">COUNTIF($B74:$E74,S$3)</f>
        <v>0</v>
      </c>
      <c r="T74" s="24" t="n">
        <f aca="false">COUNTIF($B74:$E74,T$3)</f>
        <v>0</v>
      </c>
      <c r="U74" s="24" t="n">
        <f aca="false">COUNTIF($B74:$E74,U$3)</f>
        <v>0</v>
      </c>
      <c r="V74" s="24" t="n">
        <f aca="false">COUNTIF($B74:$E74,V$3)</f>
        <v>0</v>
      </c>
      <c r="W74" s="24" t="n">
        <f aca="false">COUNTIF($B74:$E74,W$3)</f>
        <v>0</v>
      </c>
      <c r="X74" s="24" t="n">
        <f aca="false">COUNTIF($B74:$E74,X$3)</f>
        <v>0</v>
      </c>
      <c r="Y74" s="24" t="n">
        <f aca="false">COUNTIF($B74:$E74,Y$3)</f>
        <v>0</v>
      </c>
      <c r="Z74" s="24" t="n">
        <f aca="false">COUNTIF($B74:$E74,Z$3)</f>
        <v>0</v>
      </c>
      <c r="AA74" s="24" t="n">
        <f aca="false">COUNTIF($B74:$E74,AA$3)</f>
        <v>0</v>
      </c>
      <c r="AB74" s="24" t="n">
        <f aca="false">COUNTIF($B74:$E74,AB$3)</f>
        <v>0</v>
      </c>
    </row>
    <row r="75" customFormat="false" ht="15" hidden="false" customHeight="false" outlineLevel="0" collapsed="false">
      <c r="A75" s="24" t="n">
        <f aca="false">Input!A75</f>
        <v>71</v>
      </c>
      <c r="B75" s="24" t="str">
        <f aca="false">IF(Input!B75="","",IF(B$3&gt;Input!$H$4,"",IFERROR(MATCH(Input!B75,Input!$H$10:$H$29,0),"ERR")))</f>
        <v/>
      </c>
      <c r="C75" s="24" t="str">
        <f aca="false">IF(Input!C75="","",IF(C$3&gt;Input!$H$4,"",IFERROR(MATCH(Input!C75,Input!$H$10:$H$29,0),"ERR")))</f>
        <v/>
      </c>
      <c r="D75" s="24" t="str">
        <f aca="false">IF(Input!D75="","",IF(D$3&gt;Input!$H$4,"",IFERROR(MATCH(Input!D75,Input!$H$10:$H$29,0),"ERR")))</f>
        <v/>
      </c>
      <c r="E75" s="24" t="str">
        <f aca="false">IF(Input!E75="","",IF(E$3&gt;Input!$H$4,"",IFERROR(MATCH(Input!E75,Input!$H$10:$H$29,0),"ERR")))</f>
        <v/>
      </c>
      <c r="F75" s="24" t="n">
        <f aca="false">COUNT(B75:E75)</f>
        <v>0</v>
      </c>
      <c r="G75" s="24" t="n">
        <f aca="false">COUNTIF(B75:E75,"ERR")</f>
        <v>0</v>
      </c>
      <c r="H75" s="25" t="n">
        <f aca="false">IF(F75&gt;=2,1/(F75-1),0)</f>
        <v>0</v>
      </c>
      <c r="I75" s="24" t="n">
        <f aca="false">COUNTIF($B75:$E75,I$3)</f>
        <v>0</v>
      </c>
      <c r="J75" s="24" t="n">
        <f aca="false">COUNTIF($B75:$E75,J$3)</f>
        <v>0</v>
      </c>
      <c r="K75" s="24" t="n">
        <f aca="false">COUNTIF($B75:$E75,K$3)</f>
        <v>0</v>
      </c>
      <c r="L75" s="24" t="n">
        <f aca="false">COUNTIF($B75:$E75,L$3)</f>
        <v>0</v>
      </c>
      <c r="M75" s="24" t="n">
        <f aca="false">COUNTIF($B75:$E75,M$3)</f>
        <v>0</v>
      </c>
      <c r="N75" s="24" t="n">
        <f aca="false">COUNTIF($B75:$E75,N$3)</f>
        <v>0</v>
      </c>
      <c r="O75" s="24" t="n">
        <f aca="false">COUNTIF($B75:$E75,O$3)</f>
        <v>0</v>
      </c>
      <c r="P75" s="24" t="n">
        <f aca="false">COUNTIF($B75:$E75,P$3)</f>
        <v>0</v>
      </c>
      <c r="Q75" s="24" t="n">
        <f aca="false">COUNTIF($B75:$E75,Q$3)</f>
        <v>0</v>
      </c>
      <c r="R75" s="24" t="n">
        <f aca="false">COUNTIF($B75:$E75,R$3)</f>
        <v>0</v>
      </c>
      <c r="S75" s="24" t="n">
        <f aca="false">COUNTIF($B75:$E75,S$3)</f>
        <v>0</v>
      </c>
      <c r="T75" s="24" t="n">
        <f aca="false">COUNTIF($B75:$E75,T$3)</f>
        <v>0</v>
      </c>
      <c r="U75" s="24" t="n">
        <f aca="false">COUNTIF($B75:$E75,U$3)</f>
        <v>0</v>
      </c>
      <c r="V75" s="24" t="n">
        <f aca="false">COUNTIF($B75:$E75,V$3)</f>
        <v>0</v>
      </c>
      <c r="W75" s="24" t="n">
        <f aca="false">COUNTIF($B75:$E75,W$3)</f>
        <v>0</v>
      </c>
      <c r="X75" s="24" t="n">
        <f aca="false">COUNTIF($B75:$E75,X$3)</f>
        <v>0</v>
      </c>
      <c r="Y75" s="24" t="n">
        <f aca="false">COUNTIF($B75:$E75,Y$3)</f>
        <v>0</v>
      </c>
      <c r="Z75" s="24" t="n">
        <f aca="false">COUNTIF($B75:$E75,Z$3)</f>
        <v>0</v>
      </c>
      <c r="AA75" s="24" t="n">
        <f aca="false">COUNTIF($B75:$E75,AA$3)</f>
        <v>0</v>
      </c>
      <c r="AB75" s="24" t="n">
        <f aca="false">COUNTIF($B75:$E75,AB$3)</f>
        <v>0</v>
      </c>
    </row>
    <row r="76" customFormat="false" ht="15" hidden="false" customHeight="false" outlineLevel="0" collapsed="false">
      <c r="A76" s="24" t="n">
        <f aca="false">Input!A76</f>
        <v>72</v>
      </c>
      <c r="B76" s="24" t="str">
        <f aca="false">IF(Input!B76="","",IF(B$3&gt;Input!$H$4,"",IFERROR(MATCH(Input!B76,Input!$H$10:$H$29,0),"ERR")))</f>
        <v/>
      </c>
      <c r="C76" s="24" t="str">
        <f aca="false">IF(Input!C76="","",IF(C$3&gt;Input!$H$4,"",IFERROR(MATCH(Input!C76,Input!$H$10:$H$29,0),"ERR")))</f>
        <v/>
      </c>
      <c r="D76" s="24" t="str">
        <f aca="false">IF(Input!D76="","",IF(D$3&gt;Input!$H$4,"",IFERROR(MATCH(Input!D76,Input!$H$10:$H$29,0),"ERR")))</f>
        <v/>
      </c>
      <c r="E76" s="24" t="str">
        <f aca="false">IF(Input!E76="","",IF(E$3&gt;Input!$H$4,"",IFERROR(MATCH(Input!E76,Input!$H$10:$H$29,0),"ERR")))</f>
        <v/>
      </c>
      <c r="F76" s="24" t="n">
        <f aca="false">COUNT(B76:E76)</f>
        <v>0</v>
      </c>
      <c r="G76" s="24" t="n">
        <f aca="false">COUNTIF(B76:E76,"ERR")</f>
        <v>0</v>
      </c>
      <c r="H76" s="25" t="n">
        <f aca="false">IF(F76&gt;=2,1/(F76-1),0)</f>
        <v>0</v>
      </c>
      <c r="I76" s="24" t="n">
        <f aca="false">COUNTIF($B76:$E76,I$3)</f>
        <v>0</v>
      </c>
      <c r="J76" s="24" t="n">
        <f aca="false">COUNTIF($B76:$E76,J$3)</f>
        <v>0</v>
      </c>
      <c r="K76" s="24" t="n">
        <f aca="false">COUNTIF($B76:$E76,K$3)</f>
        <v>0</v>
      </c>
      <c r="L76" s="24" t="n">
        <f aca="false">COUNTIF($B76:$E76,L$3)</f>
        <v>0</v>
      </c>
      <c r="M76" s="24" t="n">
        <f aca="false">COUNTIF($B76:$E76,M$3)</f>
        <v>0</v>
      </c>
      <c r="N76" s="24" t="n">
        <f aca="false">COUNTIF($B76:$E76,N$3)</f>
        <v>0</v>
      </c>
      <c r="O76" s="24" t="n">
        <f aca="false">COUNTIF($B76:$E76,O$3)</f>
        <v>0</v>
      </c>
      <c r="P76" s="24" t="n">
        <f aca="false">COUNTIF($B76:$E76,P$3)</f>
        <v>0</v>
      </c>
      <c r="Q76" s="24" t="n">
        <f aca="false">COUNTIF($B76:$E76,Q$3)</f>
        <v>0</v>
      </c>
      <c r="R76" s="24" t="n">
        <f aca="false">COUNTIF($B76:$E76,R$3)</f>
        <v>0</v>
      </c>
      <c r="S76" s="24" t="n">
        <f aca="false">COUNTIF($B76:$E76,S$3)</f>
        <v>0</v>
      </c>
      <c r="T76" s="24" t="n">
        <f aca="false">COUNTIF($B76:$E76,T$3)</f>
        <v>0</v>
      </c>
      <c r="U76" s="24" t="n">
        <f aca="false">COUNTIF($B76:$E76,U$3)</f>
        <v>0</v>
      </c>
      <c r="V76" s="24" t="n">
        <f aca="false">COUNTIF($B76:$E76,V$3)</f>
        <v>0</v>
      </c>
      <c r="W76" s="24" t="n">
        <f aca="false">COUNTIF($B76:$E76,W$3)</f>
        <v>0</v>
      </c>
      <c r="X76" s="24" t="n">
        <f aca="false">COUNTIF($B76:$E76,X$3)</f>
        <v>0</v>
      </c>
      <c r="Y76" s="24" t="n">
        <f aca="false">COUNTIF($B76:$E76,Y$3)</f>
        <v>0</v>
      </c>
      <c r="Z76" s="24" t="n">
        <f aca="false">COUNTIF($B76:$E76,Z$3)</f>
        <v>0</v>
      </c>
      <c r="AA76" s="24" t="n">
        <f aca="false">COUNTIF($B76:$E76,AA$3)</f>
        <v>0</v>
      </c>
      <c r="AB76" s="24" t="n">
        <f aca="false">COUNTIF($B76:$E76,AB$3)</f>
        <v>0</v>
      </c>
    </row>
    <row r="77" customFormat="false" ht="15" hidden="false" customHeight="false" outlineLevel="0" collapsed="false">
      <c r="A77" s="24" t="n">
        <f aca="false">Input!A77</f>
        <v>73</v>
      </c>
      <c r="B77" s="24" t="str">
        <f aca="false">IF(Input!B77="","",IF(B$3&gt;Input!$H$4,"",IFERROR(MATCH(Input!B77,Input!$H$10:$H$29,0),"ERR")))</f>
        <v/>
      </c>
      <c r="C77" s="24" t="str">
        <f aca="false">IF(Input!C77="","",IF(C$3&gt;Input!$H$4,"",IFERROR(MATCH(Input!C77,Input!$H$10:$H$29,0),"ERR")))</f>
        <v/>
      </c>
      <c r="D77" s="24" t="str">
        <f aca="false">IF(Input!D77="","",IF(D$3&gt;Input!$H$4,"",IFERROR(MATCH(Input!D77,Input!$H$10:$H$29,0),"ERR")))</f>
        <v/>
      </c>
      <c r="E77" s="24" t="str">
        <f aca="false">IF(Input!E77="","",IF(E$3&gt;Input!$H$4,"",IFERROR(MATCH(Input!E77,Input!$H$10:$H$29,0),"ERR")))</f>
        <v/>
      </c>
      <c r="F77" s="24" t="n">
        <f aca="false">COUNT(B77:E77)</f>
        <v>0</v>
      </c>
      <c r="G77" s="24" t="n">
        <f aca="false">COUNTIF(B77:E77,"ERR")</f>
        <v>0</v>
      </c>
      <c r="H77" s="25" t="n">
        <f aca="false">IF(F77&gt;=2,1/(F77-1),0)</f>
        <v>0</v>
      </c>
      <c r="I77" s="24" t="n">
        <f aca="false">COUNTIF($B77:$E77,I$3)</f>
        <v>0</v>
      </c>
      <c r="J77" s="24" t="n">
        <f aca="false">COUNTIF($B77:$E77,J$3)</f>
        <v>0</v>
      </c>
      <c r="K77" s="24" t="n">
        <f aca="false">COUNTIF($B77:$E77,K$3)</f>
        <v>0</v>
      </c>
      <c r="L77" s="24" t="n">
        <f aca="false">COUNTIF($B77:$E77,L$3)</f>
        <v>0</v>
      </c>
      <c r="M77" s="24" t="n">
        <f aca="false">COUNTIF($B77:$E77,M$3)</f>
        <v>0</v>
      </c>
      <c r="N77" s="24" t="n">
        <f aca="false">COUNTIF($B77:$E77,N$3)</f>
        <v>0</v>
      </c>
      <c r="O77" s="24" t="n">
        <f aca="false">COUNTIF($B77:$E77,O$3)</f>
        <v>0</v>
      </c>
      <c r="P77" s="24" t="n">
        <f aca="false">COUNTIF($B77:$E77,P$3)</f>
        <v>0</v>
      </c>
      <c r="Q77" s="24" t="n">
        <f aca="false">COUNTIF($B77:$E77,Q$3)</f>
        <v>0</v>
      </c>
      <c r="R77" s="24" t="n">
        <f aca="false">COUNTIF($B77:$E77,R$3)</f>
        <v>0</v>
      </c>
      <c r="S77" s="24" t="n">
        <f aca="false">COUNTIF($B77:$E77,S$3)</f>
        <v>0</v>
      </c>
      <c r="T77" s="24" t="n">
        <f aca="false">COUNTIF($B77:$E77,T$3)</f>
        <v>0</v>
      </c>
      <c r="U77" s="24" t="n">
        <f aca="false">COUNTIF($B77:$E77,U$3)</f>
        <v>0</v>
      </c>
      <c r="V77" s="24" t="n">
        <f aca="false">COUNTIF($B77:$E77,V$3)</f>
        <v>0</v>
      </c>
      <c r="W77" s="24" t="n">
        <f aca="false">COUNTIF($B77:$E77,W$3)</f>
        <v>0</v>
      </c>
      <c r="X77" s="24" t="n">
        <f aca="false">COUNTIF($B77:$E77,X$3)</f>
        <v>0</v>
      </c>
      <c r="Y77" s="24" t="n">
        <f aca="false">COUNTIF($B77:$E77,Y$3)</f>
        <v>0</v>
      </c>
      <c r="Z77" s="24" t="n">
        <f aca="false">COUNTIF($B77:$E77,Z$3)</f>
        <v>0</v>
      </c>
      <c r="AA77" s="24" t="n">
        <f aca="false">COUNTIF($B77:$E77,AA$3)</f>
        <v>0</v>
      </c>
      <c r="AB77" s="24" t="n">
        <f aca="false">COUNTIF($B77:$E77,AB$3)</f>
        <v>0</v>
      </c>
    </row>
    <row r="78" customFormat="false" ht="15" hidden="false" customHeight="false" outlineLevel="0" collapsed="false">
      <c r="A78" s="24" t="n">
        <f aca="false">Input!A78</f>
        <v>74</v>
      </c>
      <c r="B78" s="24" t="str">
        <f aca="false">IF(Input!B78="","",IF(B$3&gt;Input!$H$4,"",IFERROR(MATCH(Input!B78,Input!$H$10:$H$29,0),"ERR")))</f>
        <v/>
      </c>
      <c r="C78" s="24" t="str">
        <f aca="false">IF(Input!C78="","",IF(C$3&gt;Input!$H$4,"",IFERROR(MATCH(Input!C78,Input!$H$10:$H$29,0),"ERR")))</f>
        <v/>
      </c>
      <c r="D78" s="24" t="str">
        <f aca="false">IF(Input!D78="","",IF(D$3&gt;Input!$H$4,"",IFERROR(MATCH(Input!D78,Input!$H$10:$H$29,0),"ERR")))</f>
        <v/>
      </c>
      <c r="E78" s="24" t="str">
        <f aca="false">IF(Input!E78="","",IF(E$3&gt;Input!$H$4,"",IFERROR(MATCH(Input!E78,Input!$H$10:$H$29,0),"ERR")))</f>
        <v/>
      </c>
      <c r="F78" s="24" t="n">
        <f aca="false">COUNT(B78:E78)</f>
        <v>0</v>
      </c>
      <c r="G78" s="24" t="n">
        <f aca="false">COUNTIF(B78:E78,"ERR")</f>
        <v>0</v>
      </c>
      <c r="H78" s="25" t="n">
        <f aca="false">IF(F78&gt;=2,1/(F78-1),0)</f>
        <v>0</v>
      </c>
      <c r="I78" s="24" t="n">
        <f aca="false">COUNTIF($B78:$E78,I$3)</f>
        <v>0</v>
      </c>
      <c r="J78" s="24" t="n">
        <f aca="false">COUNTIF($B78:$E78,J$3)</f>
        <v>0</v>
      </c>
      <c r="K78" s="24" t="n">
        <f aca="false">COUNTIF($B78:$E78,K$3)</f>
        <v>0</v>
      </c>
      <c r="L78" s="24" t="n">
        <f aca="false">COUNTIF($B78:$E78,L$3)</f>
        <v>0</v>
      </c>
      <c r="M78" s="24" t="n">
        <f aca="false">COUNTIF($B78:$E78,M$3)</f>
        <v>0</v>
      </c>
      <c r="N78" s="24" t="n">
        <f aca="false">COUNTIF($B78:$E78,N$3)</f>
        <v>0</v>
      </c>
      <c r="O78" s="24" t="n">
        <f aca="false">COUNTIF($B78:$E78,O$3)</f>
        <v>0</v>
      </c>
      <c r="P78" s="24" t="n">
        <f aca="false">COUNTIF($B78:$E78,P$3)</f>
        <v>0</v>
      </c>
      <c r="Q78" s="24" t="n">
        <f aca="false">COUNTIF($B78:$E78,Q$3)</f>
        <v>0</v>
      </c>
      <c r="R78" s="24" t="n">
        <f aca="false">COUNTIF($B78:$E78,R$3)</f>
        <v>0</v>
      </c>
      <c r="S78" s="24" t="n">
        <f aca="false">COUNTIF($B78:$E78,S$3)</f>
        <v>0</v>
      </c>
      <c r="T78" s="24" t="n">
        <f aca="false">COUNTIF($B78:$E78,T$3)</f>
        <v>0</v>
      </c>
      <c r="U78" s="24" t="n">
        <f aca="false">COUNTIF($B78:$E78,U$3)</f>
        <v>0</v>
      </c>
      <c r="V78" s="24" t="n">
        <f aca="false">COUNTIF($B78:$E78,V$3)</f>
        <v>0</v>
      </c>
      <c r="W78" s="24" t="n">
        <f aca="false">COUNTIF($B78:$E78,W$3)</f>
        <v>0</v>
      </c>
      <c r="X78" s="24" t="n">
        <f aca="false">COUNTIF($B78:$E78,X$3)</f>
        <v>0</v>
      </c>
      <c r="Y78" s="24" t="n">
        <f aca="false">COUNTIF($B78:$E78,Y$3)</f>
        <v>0</v>
      </c>
      <c r="Z78" s="24" t="n">
        <f aca="false">COUNTIF($B78:$E78,Z$3)</f>
        <v>0</v>
      </c>
      <c r="AA78" s="24" t="n">
        <f aca="false">COUNTIF($B78:$E78,AA$3)</f>
        <v>0</v>
      </c>
      <c r="AB78" s="24" t="n">
        <f aca="false">COUNTIF($B78:$E78,AB$3)</f>
        <v>0</v>
      </c>
    </row>
    <row r="79" customFormat="false" ht="15" hidden="false" customHeight="false" outlineLevel="0" collapsed="false">
      <c r="A79" s="24" t="n">
        <f aca="false">Input!A79</f>
        <v>75</v>
      </c>
      <c r="B79" s="24" t="str">
        <f aca="false">IF(Input!B79="","",IF(B$3&gt;Input!$H$4,"",IFERROR(MATCH(Input!B79,Input!$H$10:$H$29,0),"ERR")))</f>
        <v/>
      </c>
      <c r="C79" s="24" t="str">
        <f aca="false">IF(Input!C79="","",IF(C$3&gt;Input!$H$4,"",IFERROR(MATCH(Input!C79,Input!$H$10:$H$29,0),"ERR")))</f>
        <v/>
      </c>
      <c r="D79" s="24" t="str">
        <f aca="false">IF(Input!D79="","",IF(D$3&gt;Input!$H$4,"",IFERROR(MATCH(Input!D79,Input!$H$10:$H$29,0),"ERR")))</f>
        <v/>
      </c>
      <c r="E79" s="24" t="str">
        <f aca="false">IF(Input!E79="","",IF(E$3&gt;Input!$H$4,"",IFERROR(MATCH(Input!E79,Input!$H$10:$H$29,0),"ERR")))</f>
        <v/>
      </c>
      <c r="F79" s="24" t="n">
        <f aca="false">COUNT(B79:E79)</f>
        <v>0</v>
      </c>
      <c r="G79" s="24" t="n">
        <f aca="false">COUNTIF(B79:E79,"ERR")</f>
        <v>0</v>
      </c>
      <c r="H79" s="25" t="n">
        <f aca="false">IF(F79&gt;=2,1/(F79-1),0)</f>
        <v>0</v>
      </c>
      <c r="I79" s="24" t="n">
        <f aca="false">COUNTIF($B79:$E79,I$3)</f>
        <v>0</v>
      </c>
      <c r="J79" s="24" t="n">
        <f aca="false">COUNTIF($B79:$E79,J$3)</f>
        <v>0</v>
      </c>
      <c r="K79" s="24" t="n">
        <f aca="false">COUNTIF($B79:$E79,K$3)</f>
        <v>0</v>
      </c>
      <c r="L79" s="24" t="n">
        <f aca="false">COUNTIF($B79:$E79,L$3)</f>
        <v>0</v>
      </c>
      <c r="M79" s="24" t="n">
        <f aca="false">COUNTIF($B79:$E79,M$3)</f>
        <v>0</v>
      </c>
      <c r="N79" s="24" t="n">
        <f aca="false">COUNTIF($B79:$E79,N$3)</f>
        <v>0</v>
      </c>
      <c r="O79" s="24" t="n">
        <f aca="false">COUNTIF($B79:$E79,O$3)</f>
        <v>0</v>
      </c>
      <c r="P79" s="24" t="n">
        <f aca="false">COUNTIF($B79:$E79,P$3)</f>
        <v>0</v>
      </c>
      <c r="Q79" s="24" t="n">
        <f aca="false">COUNTIF($B79:$E79,Q$3)</f>
        <v>0</v>
      </c>
      <c r="R79" s="24" t="n">
        <f aca="false">COUNTIF($B79:$E79,R$3)</f>
        <v>0</v>
      </c>
      <c r="S79" s="24" t="n">
        <f aca="false">COUNTIF($B79:$E79,S$3)</f>
        <v>0</v>
      </c>
      <c r="T79" s="24" t="n">
        <f aca="false">COUNTIF($B79:$E79,T$3)</f>
        <v>0</v>
      </c>
      <c r="U79" s="24" t="n">
        <f aca="false">COUNTIF($B79:$E79,U$3)</f>
        <v>0</v>
      </c>
      <c r="V79" s="24" t="n">
        <f aca="false">COUNTIF($B79:$E79,V$3)</f>
        <v>0</v>
      </c>
      <c r="W79" s="24" t="n">
        <f aca="false">COUNTIF($B79:$E79,W$3)</f>
        <v>0</v>
      </c>
      <c r="X79" s="24" t="n">
        <f aca="false">COUNTIF($B79:$E79,X$3)</f>
        <v>0</v>
      </c>
      <c r="Y79" s="24" t="n">
        <f aca="false">COUNTIF($B79:$E79,Y$3)</f>
        <v>0</v>
      </c>
      <c r="Z79" s="24" t="n">
        <f aca="false">COUNTIF($B79:$E79,Z$3)</f>
        <v>0</v>
      </c>
      <c r="AA79" s="24" t="n">
        <f aca="false">COUNTIF($B79:$E79,AA$3)</f>
        <v>0</v>
      </c>
      <c r="AB79" s="24" t="n">
        <f aca="false">COUNTIF($B79:$E79,AB$3)</f>
        <v>0</v>
      </c>
    </row>
    <row r="80" customFormat="false" ht="15" hidden="false" customHeight="false" outlineLevel="0" collapsed="false">
      <c r="A80" s="24" t="n">
        <f aca="false">Input!A80</f>
        <v>76</v>
      </c>
      <c r="B80" s="24" t="str">
        <f aca="false">IF(Input!B80="","",IF(B$3&gt;Input!$H$4,"",IFERROR(MATCH(Input!B80,Input!$H$10:$H$29,0),"ERR")))</f>
        <v/>
      </c>
      <c r="C80" s="24" t="str">
        <f aca="false">IF(Input!C80="","",IF(C$3&gt;Input!$H$4,"",IFERROR(MATCH(Input!C80,Input!$H$10:$H$29,0),"ERR")))</f>
        <v/>
      </c>
      <c r="D80" s="24" t="str">
        <f aca="false">IF(Input!D80="","",IF(D$3&gt;Input!$H$4,"",IFERROR(MATCH(Input!D80,Input!$H$10:$H$29,0),"ERR")))</f>
        <v/>
      </c>
      <c r="E80" s="24" t="str">
        <f aca="false">IF(Input!E80="","",IF(E$3&gt;Input!$H$4,"",IFERROR(MATCH(Input!E80,Input!$H$10:$H$29,0),"ERR")))</f>
        <v/>
      </c>
      <c r="F80" s="24" t="n">
        <f aca="false">COUNT(B80:E80)</f>
        <v>0</v>
      </c>
      <c r="G80" s="24" t="n">
        <f aca="false">COUNTIF(B80:E80,"ERR")</f>
        <v>0</v>
      </c>
      <c r="H80" s="25" t="n">
        <f aca="false">IF(F80&gt;=2,1/(F80-1),0)</f>
        <v>0</v>
      </c>
      <c r="I80" s="24" t="n">
        <f aca="false">COUNTIF($B80:$E80,I$3)</f>
        <v>0</v>
      </c>
      <c r="J80" s="24" t="n">
        <f aca="false">COUNTIF($B80:$E80,J$3)</f>
        <v>0</v>
      </c>
      <c r="K80" s="24" t="n">
        <f aca="false">COUNTIF($B80:$E80,K$3)</f>
        <v>0</v>
      </c>
      <c r="L80" s="24" t="n">
        <f aca="false">COUNTIF($B80:$E80,L$3)</f>
        <v>0</v>
      </c>
      <c r="M80" s="24" t="n">
        <f aca="false">COUNTIF($B80:$E80,M$3)</f>
        <v>0</v>
      </c>
      <c r="N80" s="24" t="n">
        <f aca="false">COUNTIF($B80:$E80,N$3)</f>
        <v>0</v>
      </c>
      <c r="O80" s="24" t="n">
        <f aca="false">COUNTIF($B80:$E80,O$3)</f>
        <v>0</v>
      </c>
      <c r="P80" s="24" t="n">
        <f aca="false">COUNTIF($B80:$E80,P$3)</f>
        <v>0</v>
      </c>
      <c r="Q80" s="24" t="n">
        <f aca="false">COUNTIF($B80:$E80,Q$3)</f>
        <v>0</v>
      </c>
      <c r="R80" s="24" t="n">
        <f aca="false">COUNTIF($B80:$E80,R$3)</f>
        <v>0</v>
      </c>
      <c r="S80" s="24" t="n">
        <f aca="false">COUNTIF($B80:$E80,S$3)</f>
        <v>0</v>
      </c>
      <c r="T80" s="24" t="n">
        <f aca="false">COUNTIF($B80:$E80,T$3)</f>
        <v>0</v>
      </c>
      <c r="U80" s="24" t="n">
        <f aca="false">COUNTIF($B80:$E80,U$3)</f>
        <v>0</v>
      </c>
      <c r="V80" s="24" t="n">
        <f aca="false">COUNTIF($B80:$E80,V$3)</f>
        <v>0</v>
      </c>
      <c r="W80" s="24" t="n">
        <f aca="false">COUNTIF($B80:$E80,W$3)</f>
        <v>0</v>
      </c>
      <c r="X80" s="24" t="n">
        <f aca="false">COUNTIF($B80:$E80,X$3)</f>
        <v>0</v>
      </c>
      <c r="Y80" s="24" t="n">
        <f aca="false">COUNTIF($B80:$E80,Y$3)</f>
        <v>0</v>
      </c>
      <c r="Z80" s="24" t="n">
        <f aca="false">COUNTIF($B80:$E80,Z$3)</f>
        <v>0</v>
      </c>
      <c r="AA80" s="24" t="n">
        <f aca="false">COUNTIF($B80:$E80,AA$3)</f>
        <v>0</v>
      </c>
      <c r="AB80" s="24" t="n">
        <f aca="false">COUNTIF($B80:$E80,AB$3)</f>
        <v>0</v>
      </c>
    </row>
    <row r="81" customFormat="false" ht="15" hidden="false" customHeight="false" outlineLevel="0" collapsed="false">
      <c r="A81" s="24" t="n">
        <f aca="false">Input!A81</f>
        <v>77</v>
      </c>
      <c r="B81" s="24" t="str">
        <f aca="false">IF(Input!B81="","",IF(B$3&gt;Input!$H$4,"",IFERROR(MATCH(Input!B81,Input!$H$10:$H$29,0),"ERR")))</f>
        <v/>
      </c>
      <c r="C81" s="24" t="str">
        <f aca="false">IF(Input!C81="","",IF(C$3&gt;Input!$H$4,"",IFERROR(MATCH(Input!C81,Input!$H$10:$H$29,0),"ERR")))</f>
        <v/>
      </c>
      <c r="D81" s="24" t="str">
        <f aca="false">IF(Input!D81="","",IF(D$3&gt;Input!$H$4,"",IFERROR(MATCH(Input!D81,Input!$H$10:$H$29,0),"ERR")))</f>
        <v/>
      </c>
      <c r="E81" s="24" t="str">
        <f aca="false">IF(Input!E81="","",IF(E$3&gt;Input!$H$4,"",IFERROR(MATCH(Input!E81,Input!$H$10:$H$29,0),"ERR")))</f>
        <v/>
      </c>
      <c r="F81" s="24" t="n">
        <f aca="false">COUNT(B81:E81)</f>
        <v>0</v>
      </c>
      <c r="G81" s="24" t="n">
        <f aca="false">COUNTIF(B81:E81,"ERR")</f>
        <v>0</v>
      </c>
      <c r="H81" s="25" t="n">
        <f aca="false">IF(F81&gt;=2,1/(F81-1),0)</f>
        <v>0</v>
      </c>
      <c r="I81" s="24" t="n">
        <f aca="false">COUNTIF($B81:$E81,I$3)</f>
        <v>0</v>
      </c>
      <c r="J81" s="24" t="n">
        <f aca="false">COUNTIF($B81:$E81,J$3)</f>
        <v>0</v>
      </c>
      <c r="K81" s="24" t="n">
        <f aca="false">COUNTIF($B81:$E81,K$3)</f>
        <v>0</v>
      </c>
      <c r="L81" s="24" t="n">
        <f aca="false">COUNTIF($B81:$E81,L$3)</f>
        <v>0</v>
      </c>
      <c r="M81" s="24" t="n">
        <f aca="false">COUNTIF($B81:$E81,M$3)</f>
        <v>0</v>
      </c>
      <c r="N81" s="24" t="n">
        <f aca="false">COUNTIF($B81:$E81,N$3)</f>
        <v>0</v>
      </c>
      <c r="O81" s="24" t="n">
        <f aca="false">COUNTIF($B81:$E81,O$3)</f>
        <v>0</v>
      </c>
      <c r="P81" s="24" t="n">
        <f aca="false">COUNTIF($B81:$E81,P$3)</f>
        <v>0</v>
      </c>
      <c r="Q81" s="24" t="n">
        <f aca="false">COUNTIF($B81:$E81,Q$3)</f>
        <v>0</v>
      </c>
      <c r="R81" s="24" t="n">
        <f aca="false">COUNTIF($B81:$E81,R$3)</f>
        <v>0</v>
      </c>
      <c r="S81" s="24" t="n">
        <f aca="false">COUNTIF($B81:$E81,S$3)</f>
        <v>0</v>
      </c>
      <c r="T81" s="24" t="n">
        <f aca="false">COUNTIF($B81:$E81,T$3)</f>
        <v>0</v>
      </c>
      <c r="U81" s="24" t="n">
        <f aca="false">COUNTIF($B81:$E81,U$3)</f>
        <v>0</v>
      </c>
      <c r="V81" s="24" t="n">
        <f aca="false">COUNTIF($B81:$E81,V$3)</f>
        <v>0</v>
      </c>
      <c r="W81" s="24" t="n">
        <f aca="false">COUNTIF($B81:$E81,W$3)</f>
        <v>0</v>
      </c>
      <c r="X81" s="24" t="n">
        <f aca="false">COUNTIF($B81:$E81,X$3)</f>
        <v>0</v>
      </c>
      <c r="Y81" s="24" t="n">
        <f aca="false">COUNTIF($B81:$E81,Y$3)</f>
        <v>0</v>
      </c>
      <c r="Z81" s="24" t="n">
        <f aca="false">COUNTIF($B81:$E81,Z$3)</f>
        <v>0</v>
      </c>
      <c r="AA81" s="24" t="n">
        <f aca="false">COUNTIF($B81:$E81,AA$3)</f>
        <v>0</v>
      </c>
      <c r="AB81" s="24" t="n">
        <f aca="false">COUNTIF($B81:$E81,AB$3)</f>
        <v>0</v>
      </c>
    </row>
    <row r="82" customFormat="false" ht="15" hidden="false" customHeight="false" outlineLevel="0" collapsed="false">
      <c r="A82" s="24" t="n">
        <f aca="false">Input!A82</f>
        <v>78</v>
      </c>
      <c r="B82" s="24" t="str">
        <f aca="false">IF(Input!B82="","",IF(B$3&gt;Input!$H$4,"",IFERROR(MATCH(Input!B82,Input!$H$10:$H$29,0),"ERR")))</f>
        <v/>
      </c>
      <c r="C82" s="24" t="str">
        <f aca="false">IF(Input!C82="","",IF(C$3&gt;Input!$H$4,"",IFERROR(MATCH(Input!C82,Input!$H$10:$H$29,0),"ERR")))</f>
        <v/>
      </c>
      <c r="D82" s="24" t="str">
        <f aca="false">IF(Input!D82="","",IF(D$3&gt;Input!$H$4,"",IFERROR(MATCH(Input!D82,Input!$H$10:$H$29,0),"ERR")))</f>
        <v/>
      </c>
      <c r="E82" s="24" t="str">
        <f aca="false">IF(Input!E82="","",IF(E$3&gt;Input!$H$4,"",IFERROR(MATCH(Input!E82,Input!$H$10:$H$29,0),"ERR")))</f>
        <v/>
      </c>
      <c r="F82" s="24" t="n">
        <f aca="false">COUNT(B82:E82)</f>
        <v>0</v>
      </c>
      <c r="G82" s="24" t="n">
        <f aca="false">COUNTIF(B82:E82,"ERR")</f>
        <v>0</v>
      </c>
      <c r="H82" s="25" t="n">
        <f aca="false">IF(F82&gt;=2,1/(F82-1),0)</f>
        <v>0</v>
      </c>
      <c r="I82" s="24" t="n">
        <f aca="false">COUNTIF($B82:$E82,I$3)</f>
        <v>0</v>
      </c>
      <c r="J82" s="24" t="n">
        <f aca="false">COUNTIF($B82:$E82,J$3)</f>
        <v>0</v>
      </c>
      <c r="K82" s="24" t="n">
        <f aca="false">COUNTIF($B82:$E82,K$3)</f>
        <v>0</v>
      </c>
      <c r="L82" s="24" t="n">
        <f aca="false">COUNTIF($B82:$E82,L$3)</f>
        <v>0</v>
      </c>
      <c r="M82" s="24" t="n">
        <f aca="false">COUNTIF($B82:$E82,M$3)</f>
        <v>0</v>
      </c>
      <c r="N82" s="24" t="n">
        <f aca="false">COUNTIF($B82:$E82,N$3)</f>
        <v>0</v>
      </c>
      <c r="O82" s="24" t="n">
        <f aca="false">COUNTIF($B82:$E82,O$3)</f>
        <v>0</v>
      </c>
      <c r="P82" s="24" t="n">
        <f aca="false">COUNTIF($B82:$E82,P$3)</f>
        <v>0</v>
      </c>
      <c r="Q82" s="24" t="n">
        <f aca="false">COUNTIF($B82:$E82,Q$3)</f>
        <v>0</v>
      </c>
      <c r="R82" s="24" t="n">
        <f aca="false">COUNTIF($B82:$E82,R$3)</f>
        <v>0</v>
      </c>
      <c r="S82" s="24" t="n">
        <f aca="false">COUNTIF($B82:$E82,S$3)</f>
        <v>0</v>
      </c>
      <c r="T82" s="24" t="n">
        <f aca="false">COUNTIF($B82:$E82,T$3)</f>
        <v>0</v>
      </c>
      <c r="U82" s="24" t="n">
        <f aca="false">COUNTIF($B82:$E82,U$3)</f>
        <v>0</v>
      </c>
      <c r="V82" s="24" t="n">
        <f aca="false">COUNTIF($B82:$E82,V$3)</f>
        <v>0</v>
      </c>
      <c r="W82" s="24" t="n">
        <f aca="false">COUNTIF($B82:$E82,W$3)</f>
        <v>0</v>
      </c>
      <c r="X82" s="24" t="n">
        <f aca="false">COUNTIF($B82:$E82,X$3)</f>
        <v>0</v>
      </c>
      <c r="Y82" s="24" t="n">
        <f aca="false">COUNTIF($B82:$E82,Y$3)</f>
        <v>0</v>
      </c>
      <c r="Z82" s="24" t="n">
        <f aca="false">COUNTIF($B82:$E82,Z$3)</f>
        <v>0</v>
      </c>
      <c r="AA82" s="24" t="n">
        <f aca="false">COUNTIF($B82:$E82,AA$3)</f>
        <v>0</v>
      </c>
      <c r="AB82" s="24" t="n">
        <f aca="false">COUNTIF($B82:$E82,AB$3)</f>
        <v>0</v>
      </c>
    </row>
    <row r="83" customFormat="false" ht="15" hidden="false" customHeight="false" outlineLevel="0" collapsed="false">
      <c r="A83" s="24" t="n">
        <f aca="false">Input!A83</f>
        <v>79</v>
      </c>
      <c r="B83" s="24" t="str">
        <f aca="false">IF(Input!B83="","",IF(B$3&gt;Input!$H$4,"",IFERROR(MATCH(Input!B83,Input!$H$10:$H$29,0),"ERR")))</f>
        <v/>
      </c>
      <c r="C83" s="24" t="str">
        <f aca="false">IF(Input!C83="","",IF(C$3&gt;Input!$H$4,"",IFERROR(MATCH(Input!C83,Input!$H$10:$H$29,0),"ERR")))</f>
        <v/>
      </c>
      <c r="D83" s="24" t="str">
        <f aca="false">IF(Input!D83="","",IF(D$3&gt;Input!$H$4,"",IFERROR(MATCH(Input!D83,Input!$H$10:$H$29,0),"ERR")))</f>
        <v/>
      </c>
      <c r="E83" s="24" t="str">
        <f aca="false">IF(Input!E83="","",IF(E$3&gt;Input!$H$4,"",IFERROR(MATCH(Input!E83,Input!$H$10:$H$29,0),"ERR")))</f>
        <v/>
      </c>
      <c r="F83" s="24" t="n">
        <f aca="false">COUNT(B83:E83)</f>
        <v>0</v>
      </c>
      <c r="G83" s="24" t="n">
        <f aca="false">COUNTIF(B83:E83,"ERR")</f>
        <v>0</v>
      </c>
      <c r="H83" s="25" t="n">
        <f aca="false">IF(F83&gt;=2,1/(F83-1),0)</f>
        <v>0</v>
      </c>
      <c r="I83" s="24" t="n">
        <f aca="false">COUNTIF($B83:$E83,I$3)</f>
        <v>0</v>
      </c>
      <c r="J83" s="24" t="n">
        <f aca="false">COUNTIF($B83:$E83,J$3)</f>
        <v>0</v>
      </c>
      <c r="K83" s="24" t="n">
        <f aca="false">COUNTIF($B83:$E83,K$3)</f>
        <v>0</v>
      </c>
      <c r="L83" s="24" t="n">
        <f aca="false">COUNTIF($B83:$E83,L$3)</f>
        <v>0</v>
      </c>
      <c r="M83" s="24" t="n">
        <f aca="false">COUNTIF($B83:$E83,M$3)</f>
        <v>0</v>
      </c>
      <c r="N83" s="24" t="n">
        <f aca="false">COUNTIF($B83:$E83,N$3)</f>
        <v>0</v>
      </c>
      <c r="O83" s="24" t="n">
        <f aca="false">COUNTIF($B83:$E83,O$3)</f>
        <v>0</v>
      </c>
      <c r="P83" s="24" t="n">
        <f aca="false">COUNTIF($B83:$E83,P$3)</f>
        <v>0</v>
      </c>
      <c r="Q83" s="24" t="n">
        <f aca="false">COUNTIF($B83:$E83,Q$3)</f>
        <v>0</v>
      </c>
      <c r="R83" s="24" t="n">
        <f aca="false">COUNTIF($B83:$E83,R$3)</f>
        <v>0</v>
      </c>
      <c r="S83" s="24" t="n">
        <f aca="false">COUNTIF($B83:$E83,S$3)</f>
        <v>0</v>
      </c>
      <c r="T83" s="24" t="n">
        <f aca="false">COUNTIF($B83:$E83,T$3)</f>
        <v>0</v>
      </c>
      <c r="U83" s="24" t="n">
        <f aca="false">COUNTIF($B83:$E83,U$3)</f>
        <v>0</v>
      </c>
      <c r="V83" s="24" t="n">
        <f aca="false">COUNTIF($B83:$E83,V$3)</f>
        <v>0</v>
      </c>
      <c r="W83" s="24" t="n">
        <f aca="false">COUNTIF($B83:$E83,W$3)</f>
        <v>0</v>
      </c>
      <c r="X83" s="24" t="n">
        <f aca="false">COUNTIF($B83:$E83,X$3)</f>
        <v>0</v>
      </c>
      <c r="Y83" s="24" t="n">
        <f aca="false">COUNTIF($B83:$E83,Y$3)</f>
        <v>0</v>
      </c>
      <c r="Z83" s="24" t="n">
        <f aca="false">COUNTIF($B83:$E83,Z$3)</f>
        <v>0</v>
      </c>
      <c r="AA83" s="24" t="n">
        <f aca="false">COUNTIF($B83:$E83,AA$3)</f>
        <v>0</v>
      </c>
      <c r="AB83" s="24" t="n">
        <f aca="false">COUNTIF($B83:$E83,AB$3)</f>
        <v>0</v>
      </c>
    </row>
    <row r="84" customFormat="false" ht="15" hidden="false" customHeight="false" outlineLevel="0" collapsed="false">
      <c r="A84" s="24" t="n">
        <f aca="false">Input!A84</f>
        <v>80</v>
      </c>
      <c r="B84" s="24" t="str">
        <f aca="false">IF(Input!B84="","",IF(B$3&gt;Input!$H$4,"",IFERROR(MATCH(Input!B84,Input!$H$10:$H$29,0),"ERR")))</f>
        <v/>
      </c>
      <c r="C84" s="24" t="str">
        <f aca="false">IF(Input!C84="","",IF(C$3&gt;Input!$H$4,"",IFERROR(MATCH(Input!C84,Input!$H$10:$H$29,0),"ERR")))</f>
        <v/>
      </c>
      <c r="D84" s="24" t="str">
        <f aca="false">IF(Input!D84="","",IF(D$3&gt;Input!$H$4,"",IFERROR(MATCH(Input!D84,Input!$H$10:$H$29,0),"ERR")))</f>
        <v/>
      </c>
      <c r="E84" s="24" t="str">
        <f aca="false">IF(Input!E84="","",IF(E$3&gt;Input!$H$4,"",IFERROR(MATCH(Input!E84,Input!$H$10:$H$29,0),"ERR")))</f>
        <v/>
      </c>
      <c r="F84" s="24" t="n">
        <f aca="false">COUNT(B84:E84)</f>
        <v>0</v>
      </c>
      <c r="G84" s="24" t="n">
        <f aca="false">COUNTIF(B84:E84,"ERR")</f>
        <v>0</v>
      </c>
      <c r="H84" s="25" t="n">
        <f aca="false">IF(F84&gt;=2,1/(F84-1),0)</f>
        <v>0</v>
      </c>
      <c r="I84" s="24" t="n">
        <f aca="false">COUNTIF($B84:$E84,I$3)</f>
        <v>0</v>
      </c>
      <c r="J84" s="24" t="n">
        <f aca="false">COUNTIF($B84:$E84,J$3)</f>
        <v>0</v>
      </c>
      <c r="K84" s="24" t="n">
        <f aca="false">COUNTIF($B84:$E84,K$3)</f>
        <v>0</v>
      </c>
      <c r="L84" s="24" t="n">
        <f aca="false">COUNTIF($B84:$E84,L$3)</f>
        <v>0</v>
      </c>
      <c r="M84" s="24" t="n">
        <f aca="false">COUNTIF($B84:$E84,M$3)</f>
        <v>0</v>
      </c>
      <c r="N84" s="24" t="n">
        <f aca="false">COUNTIF($B84:$E84,N$3)</f>
        <v>0</v>
      </c>
      <c r="O84" s="24" t="n">
        <f aca="false">COUNTIF($B84:$E84,O$3)</f>
        <v>0</v>
      </c>
      <c r="P84" s="24" t="n">
        <f aca="false">COUNTIF($B84:$E84,P$3)</f>
        <v>0</v>
      </c>
      <c r="Q84" s="24" t="n">
        <f aca="false">COUNTIF($B84:$E84,Q$3)</f>
        <v>0</v>
      </c>
      <c r="R84" s="24" t="n">
        <f aca="false">COUNTIF($B84:$E84,R$3)</f>
        <v>0</v>
      </c>
      <c r="S84" s="24" t="n">
        <f aca="false">COUNTIF($B84:$E84,S$3)</f>
        <v>0</v>
      </c>
      <c r="T84" s="24" t="n">
        <f aca="false">COUNTIF($B84:$E84,T$3)</f>
        <v>0</v>
      </c>
      <c r="U84" s="24" t="n">
        <f aca="false">COUNTIF($B84:$E84,U$3)</f>
        <v>0</v>
      </c>
      <c r="V84" s="24" t="n">
        <f aca="false">COUNTIF($B84:$E84,V$3)</f>
        <v>0</v>
      </c>
      <c r="W84" s="24" t="n">
        <f aca="false">COUNTIF($B84:$E84,W$3)</f>
        <v>0</v>
      </c>
      <c r="X84" s="24" t="n">
        <f aca="false">COUNTIF($B84:$E84,X$3)</f>
        <v>0</v>
      </c>
      <c r="Y84" s="24" t="n">
        <f aca="false">COUNTIF($B84:$E84,Y$3)</f>
        <v>0</v>
      </c>
      <c r="Z84" s="24" t="n">
        <f aca="false">COUNTIF($B84:$E84,Z$3)</f>
        <v>0</v>
      </c>
      <c r="AA84" s="24" t="n">
        <f aca="false">COUNTIF($B84:$E84,AA$3)</f>
        <v>0</v>
      </c>
      <c r="AB84" s="24" t="n">
        <f aca="false">COUNTIF($B84:$E84,AB$3)</f>
        <v>0</v>
      </c>
    </row>
    <row r="85" customFormat="false" ht="15" hidden="false" customHeight="false" outlineLevel="0" collapsed="false">
      <c r="A85" s="24" t="n">
        <f aca="false">Input!A85</f>
        <v>81</v>
      </c>
      <c r="B85" s="24" t="str">
        <f aca="false">IF(Input!B85="","",IF(B$3&gt;Input!$H$4,"",IFERROR(MATCH(Input!B85,Input!$H$10:$H$29,0),"ERR")))</f>
        <v/>
      </c>
      <c r="C85" s="24" t="str">
        <f aca="false">IF(Input!C85="","",IF(C$3&gt;Input!$H$4,"",IFERROR(MATCH(Input!C85,Input!$H$10:$H$29,0),"ERR")))</f>
        <v/>
      </c>
      <c r="D85" s="24" t="str">
        <f aca="false">IF(Input!D85="","",IF(D$3&gt;Input!$H$4,"",IFERROR(MATCH(Input!D85,Input!$H$10:$H$29,0),"ERR")))</f>
        <v/>
      </c>
      <c r="E85" s="24" t="str">
        <f aca="false">IF(Input!E85="","",IF(E$3&gt;Input!$H$4,"",IFERROR(MATCH(Input!E85,Input!$H$10:$H$29,0),"ERR")))</f>
        <v/>
      </c>
      <c r="F85" s="24" t="n">
        <f aca="false">COUNT(B85:E85)</f>
        <v>0</v>
      </c>
      <c r="G85" s="24" t="n">
        <f aca="false">COUNTIF(B85:E85,"ERR")</f>
        <v>0</v>
      </c>
      <c r="H85" s="25" t="n">
        <f aca="false">IF(F85&gt;=2,1/(F85-1),0)</f>
        <v>0</v>
      </c>
      <c r="I85" s="24" t="n">
        <f aca="false">COUNTIF($B85:$E85,I$3)</f>
        <v>0</v>
      </c>
      <c r="J85" s="24" t="n">
        <f aca="false">COUNTIF($B85:$E85,J$3)</f>
        <v>0</v>
      </c>
      <c r="K85" s="24" t="n">
        <f aca="false">COUNTIF($B85:$E85,K$3)</f>
        <v>0</v>
      </c>
      <c r="L85" s="24" t="n">
        <f aca="false">COUNTIF($B85:$E85,L$3)</f>
        <v>0</v>
      </c>
      <c r="M85" s="24" t="n">
        <f aca="false">COUNTIF($B85:$E85,M$3)</f>
        <v>0</v>
      </c>
      <c r="N85" s="24" t="n">
        <f aca="false">COUNTIF($B85:$E85,N$3)</f>
        <v>0</v>
      </c>
      <c r="O85" s="24" t="n">
        <f aca="false">COUNTIF($B85:$E85,O$3)</f>
        <v>0</v>
      </c>
      <c r="P85" s="24" t="n">
        <f aca="false">COUNTIF($B85:$E85,P$3)</f>
        <v>0</v>
      </c>
      <c r="Q85" s="24" t="n">
        <f aca="false">COUNTIF($B85:$E85,Q$3)</f>
        <v>0</v>
      </c>
      <c r="R85" s="24" t="n">
        <f aca="false">COUNTIF($B85:$E85,R$3)</f>
        <v>0</v>
      </c>
      <c r="S85" s="24" t="n">
        <f aca="false">COUNTIF($B85:$E85,S$3)</f>
        <v>0</v>
      </c>
      <c r="T85" s="24" t="n">
        <f aca="false">COUNTIF($B85:$E85,T$3)</f>
        <v>0</v>
      </c>
      <c r="U85" s="24" t="n">
        <f aca="false">COUNTIF($B85:$E85,U$3)</f>
        <v>0</v>
      </c>
      <c r="V85" s="24" t="n">
        <f aca="false">COUNTIF($B85:$E85,V$3)</f>
        <v>0</v>
      </c>
      <c r="W85" s="24" t="n">
        <f aca="false">COUNTIF($B85:$E85,W$3)</f>
        <v>0</v>
      </c>
      <c r="X85" s="24" t="n">
        <f aca="false">COUNTIF($B85:$E85,X$3)</f>
        <v>0</v>
      </c>
      <c r="Y85" s="24" t="n">
        <f aca="false">COUNTIF($B85:$E85,Y$3)</f>
        <v>0</v>
      </c>
      <c r="Z85" s="24" t="n">
        <f aca="false">COUNTIF($B85:$E85,Z$3)</f>
        <v>0</v>
      </c>
      <c r="AA85" s="24" t="n">
        <f aca="false">COUNTIF($B85:$E85,AA$3)</f>
        <v>0</v>
      </c>
      <c r="AB85" s="24" t="n">
        <f aca="false">COUNTIF($B85:$E85,AB$3)</f>
        <v>0</v>
      </c>
    </row>
    <row r="86" customFormat="false" ht="15" hidden="false" customHeight="false" outlineLevel="0" collapsed="false">
      <c r="A86" s="24" t="n">
        <f aca="false">Input!A86</f>
        <v>82</v>
      </c>
      <c r="B86" s="24" t="str">
        <f aca="false">IF(Input!B86="","",IF(B$3&gt;Input!$H$4,"",IFERROR(MATCH(Input!B86,Input!$H$10:$H$29,0),"ERR")))</f>
        <v/>
      </c>
      <c r="C86" s="24" t="str">
        <f aca="false">IF(Input!C86="","",IF(C$3&gt;Input!$H$4,"",IFERROR(MATCH(Input!C86,Input!$H$10:$H$29,0),"ERR")))</f>
        <v/>
      </c>
      <c r="D86" s="24" t="str">
        <f aca="false">IF(Input!D86="","",IF(D$3&gt;Input!$H$4,"",IFERROR(MATCH(Input!D86,Input!$H$10:$H$29,0),"ERR")))</f>
        <v/>
      </c>
      <c r="E86" s="24" t="str">
        <f aca="false">IF(Input!E86="","",IF(E$3&gt;Input!$H$4,"",IFERROR(MATCH(Input!E86,Input!$H$10:$H$29,0),"ERR")))</f>
        <v/>
      </c>
      <c r="F86" s="24" t="n">
        <f aca="false">COUNT(B86:E86)</f>
        <v>0</v>
      </c>
      <c r="G86" s="24" t="n">
        <f aca="false">COUNTIF(B86:E86,"ERR")</f>
        <v>0</v>
      </c>
      <c r="H86" s="25" t="n">
        <f aca="false">IF(F86&gt;=2,1/(F86-1),0)</f>
        <v>0</v>
      </c>
      <c r="I86" s="24" t="n">
        <f aca="false">COUNTIF($B86:$E86,I$3)</f>
        <v>0</v>
      </c>
      <c r="J86" s="24" t="n">
        <f aca="false">COUNTIF($B86:$E86,J$3)</f>
        <v>0</v>
      </c>
      <c r="K86" s="24" t="n">
        <f aca="false">COUNTIF($B86:$E86,K$3)</f>
        <v>0</v>
      </c>
      <c r="L86" s="24" t="n">
        <f aca="false">COUNTIF($B86:$E86,L$3)</f>
        <v>0</v>
      </c>
      <c r="M86" s="24" t="n">
        <f aca="false">COUNTIF($B86:$E86,M$3)</f>
        <v>0</v>
      </c>
      <c r="N86" s="24" t="n">
        <f aca="false">COUNTIF($B86:$E86,N$3)</f>
        <v>0</v>
      </c>
      <c r="O86" s="24" t="n">
        <f aca="false">COUNTIF($B86:$E86,O$3)</f>
        <v>0</v>
      </c>
      <c r="P86" s="24" t="n">
        <f aca="false">COUNTIF($B86:$E86,P$3)</f>
        <v>0</v>
      </c>
      <c r="Q86" s="24" t="n">
        <f aca="false">COUNTIF($B86:$E86,Q$3)</f>
        <v>0</v>
      </c>
      <c r="R86" s="24" t="n">
        <f aca="false">COUNTIF($B86:$E86,R$3)</f>
        <v>0</v>
      </c>
      <c r="S86" s="24" t="n">
        <f aca="false">COUNTIF($B86:$E86,S$3)</f>
        <v>0</v>
      </c>
      <c r="T86" s="24" t="n">
        <f aca="false">COUNTIF($B86:$E86,T$3)</f>
        <v>0</v>
      </c>
      <c r="U86" s="24" t="n">
        <f aca="false">COUNTIF($B86:$E86,U$3)</f>
        <v>0</v>
      </c>
      <c r="V86" s="24" t="n">
        <f aca="false">COUNTIF($B86:$E86,V$3)</f>
        <v>0</v>
      </c>
      <c r="W86" s="24" t="n">
        <f aca="false">COUNTIF($B86:$E86,W$3)</f>
        <v>0</v>
      </c>
      <c r="X86" s="24" t="n">
        <f aca="false">COUNTIF($B86:$E86,X$3)</f>
        <v>0</v>
      </c>
      <c r="Y86" s="24" t="n">
        <f aca="false">COUNTIF($B86:$E86,Y$3)</f>
        <v>0</v>
      </c>
      <c r="Z86" s="24" t="n">
        <f aca="false">COUNTIF($B86:$E86,Z$3)</f>
        <v>0</v>
      </c>
      <c r="AA86" s="24" t="n">
        <f aca="false">COUNTIF($B86:$E86,AA$3)</f>
        <v>0</v>
      </c>
      <c r="AB86" s="24" t="n">
        <f aca="false">COUNTIF($B86:$E86,AB$3)</f>
        <v>0</v>
      </c>
    </row>
    <row r="87" customFormat="false" ht="15" hidden="false" customHeight="false" outlineLevel="0" collapsed="false">
      <c r="A87" s="24" t="n">
        <f aca="false">Input!A87</f>
        <v>83</v>
      </c>
      <c r="B87" s="24" t="str">
        <f aca="false">IF(Input!B87="","",IF(B$3&gt;Input!$H$4,"",IFERROR(MATCH(Input!B87,Input!$H$10:$H$29,0),"ERR")))</f>
        <v/>
      </c>
      <c r="C87" s="24" t="str">
        <f aca="false">IF(Input!C87="","",IF(C$3&gt;Input!$H$4,"",IFERROR(MATCH(Input!C87,Input!$H$10:$H$29,0),"ERR")))</f>
        <v/>
      </c>
      <c r="D87" s="24" t="str">
        <f aca="false">IF(Input!D87="","",IF(D$3&gt;Input!$H$4,"",IFERROR(MATCH(Input!D87,Input!$H$10:$H$29,0),"ERR")))</f>
        <v/>
      </c>
      <c r="E87" s="24" t="str">
        <f aca="false">IF(Input!E87="","",IF(E$3&gt;Input!$H$4,"",IFERROR(MATCH(Input!E87,Input!$H$10:$H$29,0),"ERR")))</f>
        <v/>
      </c>
      <c r="F87" s="24" t="n">
        <f aca="false">COUNT(B87:E87)</f>
        <v>0</v>
      </c>
      <c r="G87" s="24" t="n">
        <f aca="false">COUNTIF(B87:E87,"ERR")</f>
        <v>0</v>
      </c>
      <c r="H87" s="25" t="n">
        <f aca="false">IF(F87&gt;=2,1/(F87-1),0)</f>
        <v>0</v>
      </c>
      <c r="I87" s="24" t="n">
        <f aca="false">COUNTIF($B87:$E87,I$3)</f>
        <v>0</v>
      </c>
      <c r="J87" s="24" t="n">
        <f aca="false">COUNTIF($B87:$E87,J$3)</f>
        <v>0</v>
      </c>
      <c r="K87" s="24" t="n">
        <f aca="false">COUNTIF($B87:$E87,K$3)</f>
        <v>0</v>
      </c>
      <c r="L87" s="24" t="n">
        <f aca="false">COUNTIF($B87:$E87,L$3)</f>
        <v>0</v>
      </c>
      <c r="M87" s="24" t="n">
        <f aca="false">COUNTIF($B87:$E87,M$3)</f>
        <v>0</v>
      </c>
      <c r="N87" s="24" t="n">
        <f aca="false">COUNTIF($B87:$E87,N$3)</f>
        <v>0</v>
      </c>
      <c r="O87" s="24" t="n">
        <f aca="false">COUNTIF($B87:$E87,O$3)</f>
        <v>0</v>
      </c>
      <c r="P87" s="24" t="n">
        <f aca="false">COUNTIF($B87:$E87,P$3)</f>
        <v>0</v>
      </c>
      <c r="Q87" s="24" t="n">
        <f aca="false">COUNTIF($B87:$E87,Q$3)</f>
        <v>0</v>
      </c>
      <c r="R87" s="24" t="n">
        <f aca="false">COUNTIF($B87:$E87,R$3)</f>
        <v>0</v>
      </c>
      <c r="S87" s="24" t="n">
        <f aca="false">COUNTIF($B87:$E87,S$3)</f>
        <v>0</v>
      </c>
      <c r="T87" s="24" t="n">
        <f aca="false">COUNTIF($B87:$E87,T$3)</f>
        <v>0</v>
      </c>
      <c r="U87" s="24" t="n">
        <f aca="false">COUNTIF($B87:$E87,U$3)</f>
        <v>0</v>
      </c>
      <c r="V87" s="24" t="n">
        <f aca="false">COUNTIF($B87:$E87,V$3)</f>
        <v>0</v>
      </c>
      <c r="W87" s="24" t="n">
        <f aca="false">COUNTIF($B87:$E87,W$3)</f>
        <v>0</v>
      </c>
      <c r="X87" s="24" t="n">
        <f aca="false">COUNTIF($B87:$E87,X$3)</f>
        <v>0</v>
      </c>
      <c r="Y87" s="24" t="n">
        <f aca="false">COUNTIF($B87:$E87,Y$3)</f>
        <v>0</v>
      </c>
      <c r="Z87" s="24" t="n">
        <f aca="false">COUNTIF($B87:$E87,Z$3)</f>
        <v>0</v>
      </c>
      <c r="AA87" s="24" t="n">
        <f aca="false">COUNTIF($B87:$E87,AA$3)</f>
        <v>0</v>
      </c>
      <c r="AB87" s="24" t="n">
        <f aca="false">COUNTIF($B87:$E87,AB$3)</f>
        <v>0</v>
      </c>
    </row>
    <row r="88" customFormat="false" ht="15" hidden="false" customHeight="false" outlineLevel="0" collapsed="false">
      <c r="A88" s="24" t="n">
        <f aca="false">Input!A88</f>
        <v>84</v>
      </c>
      <c r="B88" s="24" t="str">
        <f aca="false">IF(Input!B88="","",IF(B$3&gt;Input!$H$4,"",IFERROR(MATCH(Input!B88,Input!$H$10:$H$29,0),"ERR")))</f>
        <v/>
      </c>
      <c r="C88" s="24" t="str">
        <f aca="false">IF(Input!C88="","",IF(C$3&gt;Input!$H$4,"",IFERROR(MATCH(Input!C88,Input!$H$10:$H$29,0),"ERR")))</f>
        <v/>
      </c>
      <c r="D88" s="24" t="str">
        <f aca="false">IF(Input!D88="","",IF(D$3&gt;Input!$H$4,"",IFERROR(MATCH(Input!D88,Input!$H$10:$H$29,0),"ERR")))</f>
        <v/>
      </c>
      <c r="E88" s="24" t="str">
        <f aca="false">IF(Input!E88="","",IF(E$3&gt;Input!$H$4,"",IFERROR(MATCH(Input!E88,Input!$H$10:$H$29,0),"ERR")))</f>
        <v/>
      </c>
      <c r="F88" s="24" t="n">
        <f aca="false">COUNT(B88:E88)</f>
        <v>0</v>
      </c>
      <c r="G88" s="24" t="n">
        <f aca="false">COUNTIF(B88:E88,"ERR")</f>
        <v>0</v>
      </c>
      <c r="H88" s="25" t="n">
        <f aca="false">IF(F88&gt;=2,1/(F88-1),0)</f>
        <v>0</v>
      </c>
      <c r="I88" s="24" t="n">
        <f aca="false">COUNTIF($B88:$E88,I$3)</f>
        <v>0</v>
      </c>
      <c r="J88" s="24" t="n">
        <f aca="false">COUNTIF($B88:$E88,J$3)</f>
        <v>0</v>
      </c>
      <c r="K88" s="24" t="n">
        <f aca="false">COUNTIF($B88:$E88,K$3)</f>
        <v>0</v>
      </c>
      <c r="L88" s="24" t="n">
        <f aca="false">COUNTIF($B88:$E88,L$3)</f>
        <v>0</v>
      </c>
      <c r="M88" s="24" t="n">
        <f aca="false">COUNTIF($B88:$E88,M$3)</f>
        <v>0</v>
      </c>
      <c r="N88" s="24" t="n">
        <f aca="false">COUNTIF($B88:$E88,N$3)</f>
        <v>0</v>
      </c>
      <c r="O88" s="24" t="n">
        <f aca="false">COUNTIF($B88:$E88,O$3)</f>
        <v>0</v>
      </c>
      <c r="P88" s="24" t="n">
        <f aca="false">COUNTIF($B88:$E88,P$3)</f>
        <v>0</v>
      </c>
      <c r="Q88" s="24" t="n">
        <f aca="false">COUNTIF($B88:$E88,Q$3)</f>
        <v>0</v>
      </c>
      <c r="R88" s="24" t="n">
        <f aca="false">COUNTIF($B88:$E88,R$3)</f>
        <v>0</v>
      </c>
      <c r="S88" s="24" t="n">
        <f aca="false">COUNTIF($B88:$E88,S$3)</f>
        <v>0</v>
      </c>
      <c r="T88" s="24" t="n">
        <f aca="false">COUNTIF($B88:$E88,T$3)</f>
        <v>0</v>
      </c>
      <c r="U88" s="24" t="n">
        <f aca="false">COUNTIF($B88:$E88,U$3)</f>
        <v>0</v>
      </c>
      <c r="V88" s="24" t="n">
        <f aca="false">COUNTIF($B88:$E88,V$3)</f>
        <v>0</v>
      </c>
      <c r="W88" s="24" t="n">
        <f aca="false">COUNTIF($B88:$E88,W$3)</f>
        <v>0</v>
      </c>
      <c r="X88" s="24" t="n">
        <f aca="false">COUNTIF($B88:$E88,X$3)</f>
        <v>0</v>
      </c>
      <c r="Y88" s="24" t="n">
        <f aca="false">COUNTIF($B88:$E88,Y$3)</f>
        <v>0</v>
      </c>
      <c r="Z88" s="24" t="n">
        <f aca="false">COUNTIF($B88:$E88,Z$3)</f>
        <v>0</v>
      </c>
      <c r="AA88" s="24" t="n">
        <f aca="false">COUNTIF($B88:$E88,AA$3)</f>
        <v>0</v>
      </c>
      <c r="AB88" s="24" t="n">
        <f aca="false">COUNTIF($B88:$E88,AB$3)</f>
        <v>0</v>
      </c>
    </row>
    <row r="89" customFormat="false" ht="15" hidden="false" customHeight="false" outlineLevel="0" collapsed="false">
      <c r="A89" s="24" t="n">
        <f aca="false">Input!A89</f>
        <v>85</v>
      </c>
      <c r="B89" s="24" t="str">
        <f aca="false">IF(Input!B89="","",IF(B$3&gt;Input!$H$4,"",IFERROR(MATCH(Input!B89,Input!$H$10:$H$29,0),"ERR")))</f>
        <v/>
      </c>
      <c r="C89" s="24" t="str">
        <f aca="false">IF(Input!C89="","",IF(C$3&gt;Input!$H$4,"",IFERROR(MATCH(Input!C89,Input!$H$10:$H$29,0),"ERR")))</f>
        <v/>
      </c>
      <c r="D89" s="24" t="str">
        <f aca="false">IF(Input!D89="","",IF(D$3&gt;Input!$H$4,"",IFERROR(MATCH(Input!D89,Input!$H$10:$H$29,0),"ERR")))</f>
        <v/>
      </c>
      <c r="E89" s="24" t="str">
        <f aca="false">IF(Input!E89="","",IF(E$3&gt;Input!$H$4,"",IFERROR(MATCH(Input!E89,Input!$H$10:$H$29,0),"ERR")))</f>
        <v/>
      </c>
      <c r="F89" s="24" t="n">
        <f aca="false">COUNT(B89:E89)</f>
        <v>0</v>
      </c>
      <c r="G89" s="24" t="n">
        <f aca="false">COUNTIF(B89:E89,"ERR")</f>
        <v>0</v>
      </c>
      <c r="H89" s="25" t="n">
        <f aca="false">IF(F89&gt;=2,1/(F89-1),0)</f>
        <v>0</v>
      </c>
      <c r="I89" s="24" t="n">
        <f aca="false">COUNTIF($B89:$E89,I$3)</f>
        <v>0</v>
      </c>
      <c r="J89" s="24" t="n">
        <f aca="false">COUNTIF($B89:$E89,J$3)</f>
        <v>0</v>
      </c>
      <c r="K89" s="24" t="n">
        <f aca="false">COUNTIF($B89:$E89,K$3)</f>
        <v>0</v>
      </c>
      <c r="L89" s="24" t="n">
        <f aca="false">COUNTIF($B89:$E89,L$3)</f>
        <v>0</v>
      </c>
      <c r="M89" s="24" t="n">
        <f aca="false">COUNTIF($B89:$E89,M$3)</f>
        <v>0</v>
      </c>
      <c r="N89" s="24" t="n">
        <f aca="false">COUNTIF($B89:$E89,N$3)</f>
        <v>0</v>
      </c>
      <c r="O89" s="24" t="n">
        <f aca="false">COUNTIF($B89:$E89,O$3)</f>
        <v>0</v>
      </c>
      <c r="P89" s="24" t="n">
        <f aca="false">COUNTIF($B89:$E89,P$3)</f>
        <v>0</v>
      </c>
      <c r="Q89" s="24" t="n">
        <f aca="false">COUNTIF($B89:$E89,Q$3)</f>
        <v>0</v>
      </c>
      <c r="R89" s="24" t="n">
        <f aca="false">COUNTIF($B89:$E89,R$3)</f>
        <v>0</v>
      </c>
      <c r="S89" s="24" t="n">
        <f aca="false">COUNTIF($B89:$E89,S$3)</f>
        <v>0</v>
      </c>
      <c r="T89" s="24" t="n">
        <f aca="false">COUNTIF($B89:$E89,T$3)</f>
        <v>0</v>
      </c>
      <c r="U89" s="24" t="n">
        <f aca="false">COUNTIF($B89:$E89,U$3)</f>
        <v>0</v>
      </c>
      <c r="V89" s="24" t="n">
        <f aca="false">COUNTIF($B89:$E89,V$3)</f>
        <v>0</v>
      </c>
      <c r="W89" s="24" t="n">
        <f aca="false">COUNTIF($B89:$E89,W$3)</f>
        <v>0</v>
      </c>
      <c r="X89" s="24" t="n">
        <f aca="false">COUNTIF($B89:$E89,X$3)</f>
        <v>0</v>
      </c>
      <c r="Y89" s="24" t="n">
        <f aca="false">COUNTIF($B89:$E89,Y$3)</f>
        <v>0</v>
      </c>
      <c r="Z89" s="24" t="n">
        <f aca="false">COUNTIF($B89:$E89,Z$3)</f>
        <v>0</v>
      </c>
      <c r="AA89" s="24" t="n">
        <f aca="false">COUNTIF($B89:$E89,AA$3)</f>
        <v>0</v>
      </c>
      <c r="AB89" s="24" t="n">
        <f aca="false">COUNTIF($B89:$E89,AB$3)</f>
        <v>0</v>
      </c>
    </row>
    <row r="90" customFormat="false" ht="15" hidden="false" customHeight="false" outlineLevel="0" collapsed="false">
      <c r="A90" s="24" t="n">
        <f aca="false">Input!A90</f>
        <v>86</v>
      </c>
      <c r="B90" s="24" t="str">
        <f aca="false">IF(Input!B90="","",IF(B$3&gt;Input!$H$4,"",IFERROR(MATCH(Input!B90,Input!$H$10:$H$29,0),"ERR")))</f>
        <v/>
      </c>
      <c r="C90" s="24" t="str">
        <f aca="false">IF(Input!C90="","",IF(C$3&gt;Input!$H$4,"",IFERROR(MATCH(Input!C90,Input!$H$10:$H$29,0),"ERR")))</f>
        <v/>
      </c>
      <c r="D90" s="24" t="str">
        <f aca="false">IF(Input!D90="","",IF(D$3&gt;Input!$H$4,"",IFERROR(MATCH(Input!D90,Input!$H$10:$H$29,0),"ERR")))</f>
        <v/>
      </c>
      <c r="E90" s="24" t="str">
        <f aca="false">IF(Input!E90="","",IF(E$3&gt;Input!$H$4,"",IFERROR(MATCH(Input!E90,Input!$H$10:$H$29,0),"ERR")))</f>
        <v/>
      </c>
      <c r="F90" s="24" t="n">
        <f aca="false">COUNT(B90:E90)</f>
        <v>0</v>
      </c>
      <c r="G90" s="24" t="n">
        <f aca="false">COUNTIF(B90:E90,"ERR")</f>
        <v>0</v>
      </c>
      <c r="H90" s="25" t="n">
        <f aca="false">IF(F90&gt;=2,1/(F90-1),0)</f>
        <v>0</v>
      </c>
      <c r="I90" s="24" t="n">
        <f aca="false">COUNTIF($B90:$E90,I$3)</f>
        <v>0</v>
      </c>
      <c r="J90" s="24" t="n">
        <f aca="false">COUNTIF($B90:$E90,J$3)</f>
        <v>0</v>
      </c>
      <c r="K90" s="24" t="n">
        <f aca="false">COUNTIF($B90:$E90,K$3)</f>
        <v>0</v>
      </c>
      <c r="L90" s="24" t="n">
        <f aca="false">COUNTIF($B90:$E90,L$3)</f>
        <v>0</v>
      </c>
      <c r="M90" s="24" t="n">
        <f aca="false">COUNTIF($B90:$E90,M$3)</f>
        <v>0</v>
      </c>
      <c r="N90" s="24" t="n">
        <f aca="false">COUNTIF($B90:$E90,N$3)</f>
        <v>0</v>
      </c>
      <c r="O90" s="24" t="n">
        <f aca="false">COUNTIF($B90:$E90,O$3)</f>
        <v>0</v>
      </c>
      <c r="P90" s="24" t="n">
        <f aca="false">COUNTIF($B90:$E90,P$3)</f>
        <v>0</v>
      </c>
      <c r="Q90" s="24" t="n">
        <f aca="false">COUNTIF($B90:$E90,Q$3)</f>
        <v>0</v>
      </c>
      <c r="R90" s="24" t="n">
        <f aca="false">COUNTIF($B90:$E90,R$3)</f>
        <v>0</v>
      </c>
      <c r="S90" s="24" t="n">
        <f aca="false">COUNTIF($B90:$E90,S$3)</f>
        <v>0</v>
      </c>
      <c r="T90" s="24" t="n">
        <f aca="false">COUNTIF($B90:$E90,T$3)</f>
        <v>0</v>
      </c>
      <c r="U90" s="24" t="n">
        <f aca="false">COUNTIF($B90:$E90,U$3)</f>
        <v>0</v>
      </c>
      <c r="V90" s="24" t="n">
        <f aca="false">COUNTIF($B90:$E90,V$3)</f>
        <v>0</v>
      </c>
      <c r="W90" s="24" t="n">
        <f aca="false">COUNTIF($B90:$E90,W$3)</f>
        <v>0</v>
      </c>
      <c r="X90" s="24" t="n">
        <f aca="false">COUNTIF($B90:$E90,X$3)</f>
        <v>0</v>
      </c>
      <c r="Y90" s="24" t="n">
        <f aca="false">COUNTIF($B90:$E90,Y$3)</f>
        <v>0</v>
      </c>
      <c r="Z90" s="24" t="n">
        <f aca="false">COUNTIF($B90:$E90,Z$3)</f>
        <v>0</v>
      </c>
      <c r="AA90" s="24" t="n">
        <f aca="false">COUNTIF($B90:$E90,AA$3)</f>
        <v>0</v>
      </c>
      <c r="AB90" s="24" t="n">
        <f aca="false">COUNTIF($B90:$E90,AB$3)</f>
        <v>0</v>
      </c>
    </row>
    <row r="91" customFormat="false" ht="15" hidden="false" customHeight="false" outlineLevel="0" collapsed="false">
      <c r="A91" s="24" t="n">
        <f aca="false">Input!A91</f>
        <v>87</v>
      </c>
      <c r="B91" s="24" t="str">
        <f aca="false">IF(Input!B91="","",IF(B$3&gt;Input!$H$4,"",IFERROR(MATCH(Input!B91,Input!$H$10:$H$29,0),"ERR")))</f>
        <v/>
      </c>
      <c r="C91" s="24" t="str">
        <f aca="false">IF(Input!C91="","",IF(C$3&gt;Input!$H$4,"",IFERROR(MATCH(Input!C91,Input!$H$10:$H$29,0),"ERR")))</f>
        <v/>
      </c>
      <c r="D91" s="24" t="str">
        <f aca="false">IF(Input!D91="","",IF(D$3&gt;Input!$H$4,"",IFERROR(MATCH(Input!D91,Input!$H$10:$H$29,0),"ERR")))</f>
        <v/>
      </c>
      <c r="E91" s="24" t="str">
        <f aca="false">IF(Input!E91="","",IF(E$3&gt;Input!$H$4,"",IFERROR(MATCH(Input!E91,Input!$H$10:$H$29,0),"ERR")))</f>
        <v/>
      </c>
      <c r="F91" s="24" t="n">
        <f aca="false">COUNT(B91:E91)</f>
        <v>0</v>
      </c>
      <c r="G91" s="24" t="n">
        <f aca="false">COUNTIF(B91:E91,"ERR")</f>
        <v>0</v>
      </c>
      <c r="H91" s="25" t="n">
        <f aca="false">IF(F91&gt;=2,1/(F91-1),0)</f>
        <v>0</v>
      </c>
      <c r="I91" s="24" t="n">
        <f aca="false">COUNTIF($B91:$E91,I$3)</f>
        <v>0</v>
      </c>
      <c r="J91" s="24" t="n">
        <f aca="false">COUNTIF($B91:$E91,J$3)</f>
        <v>0</v>
      </c>
      <c r="K91" s="24" t="n">
        <f aca="false">COUNTIF($B91:$E91,K$3)</f>
        <v>0</v>
      </c>
      <c r="L91" s="24" t="n">
        <f aca="false">COUNTIF($B91:$E91,L$3)</f>
        <v>0</v>
      </c>
      <c r="M91" s="24" t="n">
        <f aca="false">COUNTIF($B91:$E91,M$3)</f>
        <v>0</v>
      </c>
      <c r="N91" s="24" t="n">
        <f aca="false">COUNTIF($B91:$E91,N$3)</f>
        <v>0</v>
      </c>
      <c r="O91" s="24" t="n">
        <f aca="false">COUNTIF($B91:$E91,O$3)</f>
        <v>0</v>
      </c>
      <c r="P91" s="24" t="n">
        <f aca="false">COUNTIF($B91:$E91,P$3)</f>
        <v>0</v>
      </c>
      <c r="Q91" s="24" t="n">
        <f aca="false">COUNTIF($B91:$E91,Q$3)</f>
        <v>0</v>
      </c>
      <c r="R91" s="24" t="n">
        <f aca="false">COUNTIF($B91:$E91,R$3)</f>
        <v>0</v>
      </c>
      <c r="S91" s="24" t="n">
        <f aca="false">COUNTIF($B91:$E91,S$3)</f>
        <v>0</v>
      </c>
      <c r="T91" s="24" t="n">
        <f aca="false">COUNTIF($B91:$E91,T$3)</f>
        <v>0</v>
      </c>
      <c r="U91" s="24" t="n">
        <f aca="false">COUNTIF($B91:$E91,U$3)</f>
        <v>0</v>
      </c>
      <c r="V91" s="24" t="n">
        <f aca="false">COUNTIF($B91:$E91,V$3)</f>
        <v>0</v>
      </c>
      <c r="W91" s="24" t="n">
        <f aca="false">COUNTIF($B91:$E91,W$3)</f>
        <v>0</v>
      </c>
      <c r="X91" s="24" t="n">
        <f aca="false">COUNTIF($B91:$E91,X$3)</f>
        <v>0</v>
      </c>
      <c r="Y91" s="24" t="n">
        <f aca="false">COUNTIF($B91:$E91,Y$3)</f>
        <v>0</v>
      </c>
      <c r="Z91" s="24" t="n">
        <f aca="false">COUNTIF($B91:$E91,Z$3)</f>
        <v>0</v>
      </c>
      <c r="AA91" s="24" t="n">
        <f aca="false">COUNTIF($B91:$E91,AA$3)</f>
        <v>0</v>
      </c>
      <c r="AB91" s="24" t="n">
        <f aca="false">COUNTIF($B91:$E91,AB$3)</f>
        <v>0</v>
      </c>
    </row>
    <row r="92" customFormat="false" ht="15" hidden="false" customHeight="false" outlineLevel="0" collapsed="false">
      <c r="A92" s="24" t="n">
        <f aca="false">Input!A92</f>
        <v>88</v>
      </c>
      <c r="B92" s="24" t="str">
        <f aca="false">IF(Input!B92="","",IF(B$3&gt;Input!$H$4,"",IFERROR(MATCH(Input!B92,Input!$H$10:$H$29,0),"ERR")))</f>
        <v/>
      </c>
      <c r="C92" s="24" t="str">
        <f aca="false">IF(Input!C92="","",IF(C$3&gt;Input!$H$4,"",IFERROR(MATCH(Input!C92,Input!$H$10:$H$29,0),"ERR")))</f>
        <v/>
      </c>
      <c r="D92" s="24" t="str">
        <f aca="false">IF(Input!D92="","",IF(D$3&gt;Input!$H$4,"",IFERROR(MATCH(Input!D92,Input!$H$10:$H$29,0),"ERR")))</f>
        <v/>
      </c>
      <c r="E92" s="24" t="str">
        <f aca="false">IF(Input!E92="","",IF(E$3&gt;Input!$H$4,"",IFERROR(MATCH(Input!E92,Input!$H$10:$H$29,0),"ERR")))</f>
        <v/>
      </c>
      <c r="F92" s="24" t="n">
        <f aca="false">COUNT(B92:E92)</f>
        <v>0</v>
      </c>
      <c r="G92" s="24" t="n">
        <f aca="false">COUNTIF(B92:E92,"ERR")</f>
        <v>0</v>
      </c>
      <c r="H92" s="25" t="n">
        <f aca="false">IF(F92&gt;=2,1/(F92-1),0)</f>
        <v>0</v>
      </c>
      <c r="I92" s="24" t="n">
        <f aca="false">COUNTIF($B92:$E92,I$3)</f>
        <v>0</v>
      </c>
      <c r="J92" s="24" t="n">
        <f aca="false">COUNTIF($B92:$E92,J$3)</f>
        <v>0</v>
      </c>
      <c r="K92" s="24" t="n">
        <f aca="false">COUNTIF($B92:$E92,K$3)</f>
        <v>0</v>
      </c>
      <c r="L92" s="24" t="n">
        <f aca="false">COUNTIF($B92:$E92,L$3)</f>
        <v>0</v>
      </c>
      <c r="M92" s="24" t="n">
        <f aca="false">COUNTIF($B92:$E92,M$3)</f>
        <v>0</v>
      </c>
      <c r="N92" s="24" t="n">
        <f aca="false">COUNTIF($B92:$E92,N$3)</f>
        <v>0</v>
      </c>
      <c r="O92" s="24" t="n">
        <f aca="false">COUNTIF($B92:$E92,O$3)</f>
        <v>0</v>
      </c>
      <c r="P92" s="24" t="n">
        <f aca="false">COUNTIF($B92:$E92,P$3)</f>
        <v>0</v>
      </c>
      <c r="Q92" s="24" t="n">
        <f aca="false">COUNTIF($B92:$E92,Q$3)</f>
        <v>0</v>
      </c>
      <c r="R92" s="24" t="n">
        <f aca="false">COUNTIF($B92:$E92,R$3)</f>
        <v>0</v>
      </c>
      <c r="S92" s="24" t="n">
        <f aca="false">COUNTIF($B92:$E92,S$3)</f>
        <v>0</v>
      </c>
      <c r="T92" s="24" t="n">
        <f aca="false">COUNTIF($B92:$E92,T$3)</f>
        <v>0</v>
      </c>
      <c r="U92" s="24" t="n">
        <f aca="false">COUNTIF($B92:$E92,U$3)</f>
        <v>0</v>
      </c>
      <c r="V92" s="24" t="n">
        <f aca="false">COUNTIF($B92:$E92,V$3)</f>
        <v>0</v>
      </c>
      <c r="W92" s="24" t="n">
        <f aca="false">COUNTIF($B92:$E92,W$3)</f>
        <v>0</v>
      </c>
      <c r="X92" s="24" t="n">
        <f aca="false">COUNTIF($B92:$E92,X$3)</f>
        <v>0</v>
      </c>
      <c r="Y92" s="24" t="n">
        <f aca="false">COUNTIF($B92:$E92,Y$3)</f>
        <v>0</v>
      </c>
      <c r="Z92" s="24" t="n">
        <f aca="false">COUNTIF($B92:$E92,Z$3)</f>
        <v>0</v>
      </c>
      <c r="AA92" s="24" t="n">
        <f aca="false">COUNTIF($B92:$E92,AA$3)</f>
        <v>0</v>
      </c>
      <c r="AB92" s="24" t="n">
        <f aca="false">COUNTIF($B92:$E92,AB$3)</f>
        <v>0</v>
      </c>
    </row>
    <row r="93" customFormat="false" ht="15" hidden="false" customHeight="false" outlineLevel="0" collapsed="false">
      <c r="A93" s="24" t="n">
        <f aca="false">Input!A93</f>
        <v>89</v>
      </c>
      <c r="B93" s="24" t="str">
        <f aca="false">IF(Input!B93="","",IF(B$3&gt;Input!$H$4,"",IFERROR(MATCH(Input!B93,Input!$H$10:$H$29,0),"ERR")))</f>
        <v/>
      </c>
      <c r="C93" s="24" t="str">
        <f aca="false">IF(Input!C93="","",IF(C$3&gt;Input!$H$4,"",IFERROR(MATCH(Input!C93,Input!$H$10:$H$29,0),"ERR")))</f>
        <v/>
      </c>
      <c r="D93" s="24" t="str">
        <f aca="false">IF(Input!D93="","",IF(D$3&gt;Input!$H$4,"",IFERROR(MATCH(Input!D93,Input!$H$10:$H$29,0),"ERR")))</f>
        <v/>
      </c>
      <c r="E93" s="24" t="str">
        <f aca="false">IF(Input!E93="","",IF(E$3&gt;Input!$H$4,"",IFERROR(MATCH(Input!E93,Input!$H$10:$H$29,0),"ERR")))</f>
        <v/>
      </c>
      <c r="F93" s="24" t="n">
        <f aca="false">COUNT(B93:E93)</f>
        <v>0</v>
      </c>
      <c r="G93" s="24" t="n">
        <f aca="false">COUNTIF(B93:E93,"ERR")</f>
        <v>0</v>
      </c>
      <c r="H93" s="25" t="n">
        <f aca="false">IF(F93&gt;=2,1/(F93-1),0)</f>
        <v>0</v>
      </c>
      <c r="I93" s="24" t="n">
        <f aca="false">COUNTIF($B93:$E93,I$3)</f>
        <v>0</v>
      </c>
      <c r="J93" s="24" t="n">
        <f aca="false">COUNTIF($B93:$E93,J$3)</f>
        <v>0</v>
      </c>
      <c r="K93" s="24" t="n">
        <f aca="false">COUNTIF($B93:$E93,K$3)</f>
        <v>0</v>
      </c>
      <c r="L93" s="24" t="n">
        <f aca="false">COUNTIF($B93:$E93,L$3)</f>
        <v>0</v>
      </c>
      <c r="M93" s="24" t="n">
        <f aca="false">COUNTIF($B93:$E93,M$3)</f>
        <v>0</v>
      </c>
      <c r="N93" s="24" t="n">
        <f aca="false">COUNTIF($B93:$E93,N$3)</f>
        <v>0</v>
      </c>
      <c r="O93" s="24" t="n">
        <f aca="false">COUNTIF($B93:$E93,O$3)</f>
        <v>0</v>
      </c>
      <c r="P93" s="24" t="n">
        <f aca="false">COUNTIF($B93:$E93,P$3)</f>
        <v>0</v>
      </c>
      <c r="Q93" s="24" t="n">
        <f aca="false">COUNTIF($B93:$E93,Q$3)</f>
        <v>0</v>
      </c>
      <c r="R93" s="24" t="n">
        <f aca="false">COUNTIF($B93:$E93,R$3)</f>
        <v>0</v>
      </c>
      <c r="S93" s="24" t="n">
        <f aca="false">COUNTIF($B93:$E93,S$3)</f>
        <v>0</v>
      </c>
      <c r="T93" s="24" t="n">
        <f aca="false">COUNTIF($B93:$E93,T$3)</f>
        <v>0</v>
      </c>
      <c r="U93" s="24" t="n">
        <f aca="false">COUNTIF($B93:$E93,U$3)</f>
        <v>0</v>
      </c>
      <c r="V93" s="24" t="n">
        <f aca="false">COUNTIF($B93:$E93,V$3)</f>
        <v>0</v>
      </c>
      <c r="W93" s="24" t="n">
        <f aca="false">COUNTIF($B93:$E93,W$3)</f>
        <v>0</v>
      </c>
      <c r="X93" s="24" t="n">
        <f aca="false">COUNTIF($B93:$E93,X$3)</f>
        <v>0</v>
      </c>
      <c r="Y93" s="24" t="n">
        <f aca="false">COUNTIF($B93:$E93,Y$3)</f>
        <v>0</v>
      </c>
      <c r="Z93" s="24" t="n">
        <f aca="false">COUNTIF($B93:$E93,Z$3)</f>
        <v>0</v>
      </c>
      <c r="AA93" s="24" t="n">
        <f aca="false">COUNTIF($B93:$E93,AA$3)</f>
        <v>0</v>
      </c>
      <c r="AB93" s="24" t="n">
        <f aca="false">COUNTIF($B93:$E93,AB$3)</f>
        <v>0</v>
      </c>
    </row>
    <row r="94" customFormat="false" ht="15" hidden="false" customHeight="false" outlineLevel="0" collapsed="false">
      <c r="A94" s="24" t="n">
        <f aca="false">Input!A94</f>
        <v>90</v>
      </c>
      <c r="B94" s="24" t="str">
        <f aca="false">IF(Input!B94="","",IF(B$3&gt;Input!$H$4,"",IFERROR(MATCH(Input!B94,Input!$H$10:$H$29,0),"ERR")))</f>
        <v/>
      </c>
      <c r="C94" s="24" t="str">
        <f aca="false">IF(Input!C94="","",IF(C$3&gt;Input!$H$4,"",IFERROR(MATCH(Input!C94,Input!$H$10:$H$29,0),"ERR")))</f>
        <v/>
      </c>
      <c r="D94" s="24" t="str">
        <f aca="false">IF(Input!D94="","",IF(D$3&gt;Input!$H$4,"",IFERROR(MATCH(Input!D94,Input!$H$10:$H$29,0),"ERR")))</f>
        <v/>
      </c>
      <c r="E94" s="24" t="str">
        <f aca="false">IF(Input!E94="","",IF(E$3&gt;Input!$H$4,"",IFERROR(MATCH(Input!E94,Input!$H$10:$H$29,0),"ERR")))</f>
        <v/>
      </c>
      <c r="F94" s="24" t="n">
        <f aca="false">COUNT(B94:E94)</f>
        <v>0</v>
      </c>
      <c r="G94" s="24" t="n">
        <f aca="false">COUNTIF(B94:E94,"ERR")</f>
        <v>0</v>
      </c>
      <c r="H94" s="25" t="n">
        <f aca="false">IF(F94&gt;=2,1/(F94-1),0)</f>
        <v>0</v>
      </c>
      <c r="I94" s="24" t="n">
        <f aca="false">COUNTIF($B94:$E94,I$3)</f>
        <v>0</v>
      </c>
      <c r="J94" s="24" t="n">
        <f aca="false">COUNTIF($B94:$E94,J$3)</f>
        <v>0</v>
      </c>
      <c r="K94" s="24" t="n">
        <f aca="false">COUNTIF($B94:$E94,K$3)</f>
        <v>0</v>
      </c>
      <c r="L94" s="24" t="n">
        <f aca="false">COUNTIF($B94:$E94,L$3)</f>
        <v>0</v>
      </c>
      <c r="M94" s="24" t="n">
        <f aca="false">COUNTIF($B94:$E94,M$3)</f>
        <v>0</v>
      </c>
      <c r="N94" s="24" t="n">
        <f aca="false">COUNTIF($B94:$E94,N$3)</f>
        <v>0</v>
      </c>
      <c r="O94" s="24" t="n">
        <f aca="false">COUNTIF($B94:$E94,O$3)</f>
        <v>0</v>
      </c>
      <c r="P94" s="24" t="n">
        <f aca="false">COUNTIF($B94:$E94,P$3)</f>
        <v>0</v>
      </c>
      <c r="Q94" s="24" t="n">
        <f aca="false">COUNTIF($B94:$E94,Q$3)</f>
        <v>0</v>
      </c>
      <c r="R94" s="24" t="n">
        <f aca="false">COUNTIF($B94:$E94,R$3)</f>
        <v>0</v>
      </c>
      <c r="S94" s="24" t="n">
        <f aca="false">COUNTIF($B94:$E94,S$3)</f>
        <v>0</v>
      </c>
      <c r="T94" s="24" t="n">
        <f aca="false">COUNTIF($B94:$E94,T$3)</f>
        <v>0</v>
      </c>
      <c r="U94" s="24" t="n">
        <f aca="false">COUNTIF($B94:$E94,U$3)</f>
        <v>0</v>
      </c>
      <c r="V94" s="24" t="n">
        <f aca="false">COUNTIF($B94:$E94,V$3)</f>
        <v>0</v>
      </c>
      <c r="W94" s="24" t="n">
        <f aca="false">COUNTIF($B94:$E94,W$3)</f>
        <v>0</v>
      </c>
      <c r="X94" s="24" t="n">
        <f aca="false">COUNTIF($B94:$E94,X$3)</f>
        <v>0</v>
      </c>
      <c r="Y94" s="24" t="n">
        <f aca="false">COUNTIF($B94:$E94,Y$3)</f>
        <v>0</v>
      </c>
      <c r="Z94" s="24" t="n">
        <f aca="false">COUNTIF($B94:$E94,Z$3)</f>
        <v>0</v>
      </c>
      <c r="AA94" s="24" t="n">
        <f aca="false">COUNTIF($B94:$E94,AA$3)</f>
        <v>0</v>
      </c>
      <c r="AB94" s="24" t="n">
        <f aca="false">COUNTIF($B94:$E94,AB$3)</f>
        <v>0</v>
      </c>
    </row>
    <row r="95" customFormat="false" ht="15" hidden="false" customHeight="false" outlineLevel="0" collapsed="false">
      <c r="A95" s="24" t="n">
        <f aca="false">Input!A95</f>
        <v>91</v>
      </c>
      <c r="B95" s="24" t="str">
        <f aca="false">IF(Input!B95="","",IF(B$3&gt;Input!$H$4,"",IFERROR(MATCH(Input!B95,Input!$H$10:$H$29,0),"ERR")))</f>
        <v/>
      </c>
      <c r="C95" s="24" t="str">
        <f aca="false">IF(Input!C95="","",IF(C$3&gt;Input!$H$4,"",IFERROR(MATCH(Input!C95,Input!$H$10:$H$29,0),"ERR")))</f>
        <v/>
      </c>
      <c r="D95" s="24" t="str">
        <f aca="false">IF(Input!D95="","",IF(D$3&gt;Input!$H$4,"",IFERROR(MATCH(Input!D95,Input!$H$10:$H$29,0),"ERR")))</f>
        <v/>
      </c>
      <c r="E95" s="24" t="str">
        <f aca="false">IF(Input!E95="","",IF(E$3&gt;Input!$H$4,"",IFERROR(MATCH(Input!E95,Input!$H$10:$H$29,0),"ERR")))</f>
        <v/>
      </c>
      <c r="F95" s="24" t="n">
        <f aca="false">COUNT(B95:E95)</f>
        <v>0</v>
      </c>
      <c r="G95" s="24" t="n">
        <f aca="false">COUNTIF(B95:E95,"ERR")</f>
        <v>0</v>
      </c>
      <c r="H95" s="25" t="n">
        <f aca="false">IF(F95&gt;=2,1/(F95-1),0)</f>
        <v>0</v>
      </c>
      <c r="I95" s="24" t="n">
        <f aca="false">COUNTIF($B95:$E95,I$3)</f>
        <v>0</v>
      </c>
      <c r="J95" s="24" t="n">
        <f aca="false">COUNTIF($B95:$E95,J$3)</f>
        <v>0</v>
      </c>
      <c r="K95" s="24" t="n">
        <f aca="false">COUNTIF($B95:$E95,K$3)</f>
        <v>0</v>
      </c>
      <c r="L95" s="24" t="n">
        <f aca="false">COUNTIF($B95:$E95,L$3)</f>
        <v>0</v>
      </c>
      <c r="M95" s="24" t="n">
        <f aca="false">COUNTIF($B95:$E95,M$3)</f>
        <v>0</v>
      </c>
      <c r="N95" s="24" t="n">
        <f aca="false">COUNTIF($B95:$E95,N$3)</f>
        <v>0</v>
      </c>
      <c r="O95" s="24" t="n">
        <f aca="false">COUNTIF($B95:$E95,O$3)</f>
        <v>0</v>
      </c>
      <c r="P95" s="24" t="n">
        <f aca="false">COUNTIF($B95:$E95,P$3)</f>
        <v>0</v>
      </c>
      <c r="Q95" s="24" t="n">
        <f aca="false">COUNTIF($B95:$E95,Q$3)</f>
        <v>0</v>
      </c>
      <c r="R95" s="24" t="n">
        <f aca="false">COUNTIF($B95:$E95,R$3)</f>
        <v>0</v>
      </c>
      <c r="S95" s="24" t="n">
        <f aca="false">COUNTIF($B95:$E95,S$3)</f>
        <v>0</v>
      </c>
      <c r="T95" s="24" t="n">
        <f aca="false">COUNTIF($B95:$E95,T$3)</f>
        <v>0</v>
      </c>
      <c r="U95" s="24" t="n">
        <f aca="false">COUNTIF($B95:$E95,U$3)</f>
        <v>0</v>
      </c>
      <c r="V95" s="24" t="n">
        <f aca="false">COUNTIF($B95:$E95,V$3)</f>
        <v>0</v>
      </c>
      <c r="W95" s="24" t="n">
        <f aca="false">COUNTIF($B95:$E95,W$3)</f>
        <v>0</v>
      </c>
      <c r="X95" s="24" t="n">
        <f aca="false">COUNTIF($B95:$E95,X$3)</f>
        <v>0</v>
      </c>
      <c r="Y95" s="24" t="n">
        <f aca="false">COUNTIF($B95:$E95,Y$3)</f>
        <v>0</v>
      </c>
      <c r="Z95" s="24" t="n">
        <f aca="false">COUNTIF($B95:$E95,Z$3)</f>
        <v>0</v>
      </c>
      <c r="AA95" s="24" t="n">
        <f aca="false">COUNTIF($B95:$E95,AA$3)</f>
        <v>0</v>
      </c>
      <c r="AB95" s="24" t="n">
        <f aca="false">COUNTIF($B95:$E95,AB$3)</f>
        <v>0</v>
      </c>
    </row>
    <row r="96" customFormat="false" ht="15" hidden="false" customHeight="false" outlineLevel="0" collapsed="false">
      <c r="A96" s="24" t="n">
        <f aca="false">Input!A96</f>
        <v>92</v>
      </c>
      <c r="B96" s="24" t="str">
        <f aca="false">IF(Input!B96="","",IF(B$3&gt;Input!$H$4,"",IFERROR(MATCH(Input!B96,Input!$H$10:$H$29,0),"ERR")))</f>
        <v/>
      </c>
      <c r="C96" s="24" t="str">
        <f aca="false">IF(Input!C96="","",IF(C$3&gt;Input!$H$4,"",IFERROR(MATCH(Input!C96,Input!$H$10:$H$29,0),"ERR")))</f>
        <v/>
      </c>
      <c r="D96" s="24" t="str">
        <f aca="false">IF(Input!D96="","",IF(D$3&gt;Input!$H$4,"",IFERROR(MATCH(Input!D96,Input!$H$10:$H$29,0),"ERR")))</f>
        <v/>
      </c>
      <c r="E96" s="24" t="str">
        <f aca="false">IF(Input!E96="","",IF(E$3&gt;Input!$H$4,"",IFERROR(MATCH(Input!E96,Input!$H$10:$H$29,0),"ERR")))</f>
        <v/>
      </c>
      <c r="F96" s="24" t="n">
        <f aca="false">COUNT(B96:E96)</f>
        <v>0</v>
      </c>
      <c r="G96" s="24" t="n">
        <f aca="false">COUNTIF(B96:E96,"ERR")</f>
        <v>0</v>
      </c>
      <c r="H96" s="25" t="n">
        <f aca="false">IF(F96&gt;=2,1/(F96-1),0)</f>
        <v>0</v>
      </c>
      <c r="I96" s="24" t="n">
        <f aca="false">COUNTIF($B96:$E96,I$3)</f>
        <v>0</v>
      </c>
      <c r="J96" s="24" t="n">
        <f aca="false">COUNTIF($B96:$E96,J$3)</f>
        <v>0</v>
      </c>
      <c r="K96" s="24" t="n">
        <f aca="false">COUNTIF($B96:$E96,K$3)</f>
        <v>0</v>
      </c>
      <c r="L96" s="24" t="n">
        <f aca="false">COUNTIF($B96:$E96,L$3)</f>
        <v>0</v>
      </c>
      <c r="M96" s="24" t="n">
        <f aca="false">COUNTIF($B96:$E96,M$3)</f>
        <v>0</v>
      </c>
      <c r="N96" s="24" t="n">
        <f aca="false">COUNTIF($B96:$E96,N$3)</f>
        <v>0</v>
      </c>
      <c r="O96" s="24" t="n">
        <f aca="false">COUNTIF($B96:$E96,O$3)</f>
        <v>0</v>
      </c>
      <c r="P96" s="24" t="n">
        <f aca="false">COUNTIF($B96:$E96,P$3)</f>
        <v>0</v>
      </c>
      <c r="Q96" s="24" t="n">
        <f aca="false">COUNTIF($B96:$E96,Q$3)</f>
        <v>0</v>
      </c>
      <c r="R96" s="24" t="n">
        <f aca="false">COUNTIF($B96:$E96,R$3)</f>
        <v>0</v>
      </c>
      <c r="S96" s="24" t="n">
        <f aca="false">COUNTIF($B96:$E96,S$3)</f>
        <v>0</v>
      </c>
      <c r="T96" s="24" t="n">
        <f aca="false">COUNTIF($B96:$E96,T$3)</f>
        <v>0</v>
      </c>
      <c r="U96" s="24" t="n">
        <f aca="false">COUNTIF($B96:$E96,U$3)</f>
        <v>0</v>
      </c>
      <c r="V96" s="24" t="n">
        <f aca="false">COUNTIF($B96:$E96,V$3)</f>
        <v>0</v>
      </c>
      <c r="W96" s="24" t="n">
        <f aca="false">COUNTIF($B96:$E96,W$3)</f>
        <v>0</v>
      </c>
      <c r="X96" s="24" t="n">
        <f aca="false">COUNTIF($B96:$E96,X$3)</f>
        <v>0</v>
      </c>
      <c r="Y96" s="24" t="n">
        <f aca="false">COUNTIF($B96:$E96,Y$3)</f>
        <v>0</v>
      </c>
      <c r="Z96" s="24" t="n">
        <f aca="false">COUNTIF($B96:$E96,Z$3)</f>
        <v>0</v>
      </c>
      <c r="AA96" s="24" t="n">
        <f aca="false">COUNTIF($B96:$E96,AA$3)</f>
        <v>0</v>
      </c>
      <c r="AB96" s="24" t="n">
        <f aca="false">COUNTIF($B96:$E96,AB$3)</f>
        <v>0</v>
      </c>
    </row>
    <row r="97" customFormat="false" ht="15" hidden="false" customHeight="false" outlineLevel="0" collapsed="false">
      <c r="A97" s="24" t="n">
        <f aca="false">Input!A97</f>
        <v>93</v>
      </c>
      <c r="B97" s="24" t="str">
        <f aca="false">IF(Input!B97="","",IF(B$3&gt;Input!$H$4,"",IFERROR(MATCH(Input!B97,Input!$H$10:$H$29,0),"ERR")))</f>
        <v/>
      </c>
      <c r="C97" s="24" t="str">
        <f aca="false">IF(Input!C97="","",IF(C$3&gt;Input!$H$4,"",IFERROR(MATCH(Input!C97,Input!$H$10:$H$29,0),"ERR")))</f>
        <v/>
      </c>
      <c r="D97" s="24" t="str">
        <f aca="false">IF(Input!D97="","",IF(D$3&gt;Input!$H$4,"",IFERROR(MATCH(Input!D97,Input!$H$10:$H$29,0),"ERR")))</f>
        <v/>
      </c>
      <c r="E97" s="24" t="str">
        <f aca="false">IF(Input!E97="","",IF(E$3&gt;Input!$H$4,"",IFERROR(MATCH(Input!E97,Input!$H$10:$H$29,0),"ERR")))</f>
        <v/>
      </c>
      <c r="F97" s="24" t="n">
        <f aca="false">COUNT(B97:E97)</f>
        <v>0</v>
      </c>
      <c r="G97" s="24" t="n">
        <f aca="false">COUNTIF(B97:E97,"ERR")</f>
        <v>0</v>
      </c>
      <c r="H97" s="25" t="n">
        <f aca="false">IF(F97&gt;=2,1/(F97-1),0)</f>
        <v>0</v>
      </c>
      <c r="I97" s="24" t="n">
        <f aca="false">COUNTIF($B97:$E97,I$3)</f>
        <v>0</v>
      </c>
      <c r="J97" s="24" t="n">
        <f aca="false">COUNTIF($B97:$E97,J$3)</f>
        <v>0</v>
      </c>
      <c r="K97" s="24" t="n">
        <f aca="false">COUNTIF($B97:$E97,K$3)</f>
        <v>0</v>
      </c>
      <c r="L97" s="24" t="n">
        <f aca="false">COUNTIF($B97:$E97,L$3)</f>
        <v>0</v>
      </c>
      <c r="M97" s="24" t="n">
        <f aca="false">COUNTIF($B97:$E97,M$3)</f>
        <v>0</v>
      </c>
      <c r="N97" s="24" t="n">
        <f aca="false">COUNTIF($B97:$E97,N$3)</f>
        <v>0</v>
      </c>
      <c r="O97" s="24" t="n">
        <f aca="false">COUNTIF($B97:$E97,O$3)</f>
        <v>0</v>
      </c>
      <c r="P97" s="24" t="n">
        <f aca="false">COUNTIF($B97:$E97,P$3)</f>
        <v>0</v>
      </c>
      <c r="Q97" s="24" t="n">
        <f aca="false">COUNTIF($B97:$E97,Q$3)</f>
        <v>0</v>
      </c>
      <c r="R97" s="24" t="n">
        <f aca="false">COUNTIF($B97:$E97,R$3)</f>
        <v>0</v>
      </c>
      <c r="S97" s="24" t="n">
        <f aca="false">COUNTIF($B97:$E97,S$3)</f>
        <v>0</v>
      </c>
      <c r="T97" s="24" t="n">
        <f aca="false">COUNTIF($B97:$E97,T$3)</f>
        <v>0</v>
      </c>
      <c r="U97" s="24" t="n">
        <f aca="false">COUNTIF($B97:$E97,U$3)</f>
        <v>0</v>
      </c>
      <c r="V97" s="24" t="n">
        <f aca="false">COUNTIF($B97:$E97,V$3)</f>
        <v>0</v>
      </c>
      <c r="W97" s="24" t="n">
        <f aca="false">COUNTIF($B97:$E97,W$3)</f>
        <v>0</v>
      </c>
      <c r="X97" s="24" t="n">
        <f aca="false">COUNTIF($B97:$E97,X$3)</f>
        <v>0</v>
      </c>
      <c r="Y97" s="24" t="n">
        <f aca="false">COUNTIF($B97:$E97,Y$3)</f>
        <v>0</v>
      </c>
      <c r="Z97" s="24" t="n">
        <f aca="false">COUNTIF($B97:$E97,Z$3)</f>
        <v>0</v>
      </c>
      <c r="AA97" s="24" t="n">
        <f aca="false">COUNTIF($B97:$E97,AA$3)</f>
        <v>0</v>
      </c>
      <c r="AB97" s="24" t="n">
        <f aca="false">COUNTIF($B97:$E97,AB$3)</f>
        <v>0</v>
      </c>
    </row>
    <row r="98" customFormat="false" ht="15" hidden="false" customHeight="false" outlineLevel="0" collapsed="false">
      <c r="A98" s="24" t="n">
        <f aca="false">Input!A98</f>
        <v>94</v>
      </c>
      <c r="B98" s="24" t="str">
        <f aca="false">IF(Input!B98="","",IF(B$3&gt;Input!$H$4,"",IFERROR(MATCH(Input!B98,Input!$H$10:$H$29,0),"ERR")))</f>
        <v/>
      </c>
      <c r="C98" s="24" t="str">
        <f aca="false">IF(Input!C98="","",IF(C$3&gt;Input!$H$4,"",IFERROR(MATCH(Input!C98,Input!$H$10:$H$29,0),"ERR")))</f>
        <v/>
      </c>
      <c r="D98" s="24" t="str">
        <f aca="false">IF(Input!D98="","",IF(D$3&gt;Input!$H$4,"",IFERROR(MATCH(Input!D98,Input!$H$10:$H$29,0),"ERR")))</f>
        <v/>
      </c>
      <c r="E98" s="24" t="str">
        <f aca="false">IF(Input!E98="","",IF(E$3&gt;Input!$H$4,"",IFERROR(MATCH(Input!E98,Input!$H$10:$H$29,0),"ERR")))</f>
        <v/>
      </c>
      <c r="F98" s="24" t="n">
        <f aca="false">COUNT(B98:E98)</f>
        <v>0</v>
      </c>
      <c r="G98" s="24" t="n">
        <f aca="false">COUNTIF(B98:E98,"ERR")</f>
        <v>0</v>
      </c>
      <c r="H98" s="25" t="n">
        <f aca="false">IF(F98&gt;=2,1/(F98-1),0)</f>
        <v>0</v>
      </c>
      <c r="I98" s="24" t="n">
        <f aca="false">COUNTIF($B98:$E98,I$3)</f>
        <v>0</v>
      </c>
      <c r="J98" s="24" t="n">
        <f aca="false">COUNTIF($B98:$E98,J$3)</f>
        <v>0</v>
      </c>
      <c r="K98" s="24" t="n">
        <f aca="false">COUNTIF($B98:$E98,K$3)</f>
        <v>0</v>
      </c>
      <c r="L98" s="24" t="n">
        <f aca="false">COUNTIF($B98:$E98,L$3)</f>
        <v>0</v>
      </c>
      <c r="M98" s="24" t="n">
        <f aca="false">COUNTIF($B98:$E98,M$3)</f>
        <v>0</v>
      </c>
      <c r="N98" s="24" t="n">
        <f aca="false">COUNTIF($B98:$E98,N$3)</f>
        <v>0</v>
      </c>
      <c r="O98" s="24" t="n">
        <f aca="false">COUNTIF($B98:$E98,O$3)</f>
        <v>0</v>
      </c>
      <c r="P98" s="24" t="n">
        <f aca="false">COUNTIF($B98:$E98,P$3)</f>
        <v>0</v>
      </c>
      <c r="Q98" s="24" t="n">
        <f aca="false">COUNTIF($B98:$E98,Q$3)</f>
        <v>0</v>
      </c>
      <c r="R98" s="24" t="n">
        <f aca="false">COUNTIF($B98:$E98,R$3)</f>
        <v>0</v>
      </c>
      <c r="S98" s="24" t="n">
        <f aca="false">COUNTIF($B98:$E98,S$3)</f>
        <v>0</v>
      </c>
      <c r="T98" s="24" t="n">
        <f aca="false">COUNTIF($B98:$E98,T$3)</f>
        <v>0</v>
      </c>
      <c r="U98" s="24" t="n">
        <f aca="false">COUNTIF($B98:$E98,U$3)</f>
        <v>0</v>
      </c>
      <c r="V98" s="24" t="n">
        <f aca="false">COUNTIF($B98:$E98,V$3)</f>
        <v>0</v>
      </c>
      <c r="W98" s="24" t="n">
        <f aca="false">COUNTIF($B98:$E98,W$3)</f>
        <v>0</v>
      </c>
      <c r="X98" s="24" t="n">
        <f aca="false">COUNTIF($B98:$E98,X$3)</f>
        <v>0</v>
      </c>
      <c r="Y98" s="24" t="n">
        <f aca="false">COUNTIF($B98:$E98,Y$3)</f>
        <v>0</v>
      </c>
      <c r="Z98" s="24" t="n">
        <f aca="false">COUNTIF($B98:$E98,Z$3)</f>
        <v>0</v>
      </c>
      <c r="AA98" s="24" t="n">
        <f aca="false">COUNTIF($B98:$E98,AA$3)</f>
        <v>0</v>
      </c>
      <c r="AB98" s="24" t="n">
        <f aca="false">COUNTIF($B98:$E98,AB$3)</f>
        <v>0</v>
      </c>
    </row>
    <row r="99" customFormat="false" ht="15" hidden="false" customHeight="false" outlineLevel="0" collapsed="false">
      <c r="A99" s="24" t="n">
        <f aca="false">Input!A99</f>
        <v>95</v>
      </c>
      <c r="B99" s="24" t="str">
        <f aca="false">IF(Input!B99="","",IF(B$3&gt;Input!$H$4,"",IFERROR(MATCH(Input!B99,Input!$H$10:$H$29,0),"ERR")))</f>
        <v/>
      </c>
      <c r="C99" s="24" t="str">
        <f aca="false">IF(Input!C99="","",IF(C$3&gt;Input!$H$4,"",IFERROR(MATCH(Input!C99,Input!$H$10:$H$29,0),"ERR")))</f>
        <v/>
      </c>
      <c r="D99" s="24" t="str">
        <f aca="false">IF(Input!D99="","",IF(D$3&gt;Input!$H$4,"",IFERROR(MATCH(Input!D99,Input!$H$10:$H$29,0),"ERR")))</f>
        <v/>
      </c>
      <c r="E99" s="24" t="str">
        <f aca="false">IF(Input!E99="","",IF(E$3&gt;Input!$H$4,"",IFERROR(MATCH(Input!E99,Input!$H$10:$H$29,0),"ERR")))</f>
        <v/>
      </c>
      <c r="F99" s="24" t="n">
        <f aca="false">COUNT(B99:E99)</f>
        <v>0</v>
      </c>
      <c r="G99" s="24" t="n">
        <f aca="false">COUNTIF(B99:E99,"ERR")</f>
        <v>0</v>
      </c>
      <c r="H99" s="25" t="n">
        <f aca="false">IF(F99&gt;=2,1/(F99-1),0)</f>
        <v>0</v>
      </c>
      <c r="I99" s="24" t="n">
        <f aca="false">COUNTIF($B99:$E99,I$3)</f>
        <v>0</v>
      </c>
      <c r="J99" s="24" t="n">
        <f aca="false">COUNTIF($B99:$E99,J$3)</f>
        <v>0</v>
      </c>
      <c r="K99" s="24" t="n">
        <f aca="false">COUNTIF($B99:$E99,K$3)</f>
        <v>0</v>
      </c>
      <c r="L99" s="24" t="n">
        <f aca="false">COUNTIF($B99:$E99,L$3)</f>
        <v>0</v>
      </c>
      <c r="M99" s="24" t="n">
        <f aca="false">COUNTIF($B99:$E99,M$3)</f>
        <v>0</v>
      </c>
      <c r="N99" s="24" t="n">
        <f aca="false">COUNTIF($B99:$E99,N$3)</f>
        <v>0</v>
      </c>
      <c r="O99" s="24" t="n">
        <f aca="false">COUNTIF($B99:$E99,O$3)</f>
        <v>0</v>
      </c>
      <c r="P99" s="24" t="n">
        <f aca="false">COUNTIF($B99:$E99,P$3)</f>
        <v>0</v>
      </c>
      <c r="Q99" s="24" t="n">
        <f aca="false">COUNTIF($B99:$E99,Q$3)</f>
        <v>0</v>
      </c>
      <c r="R99" s="24" t="n">
        <f aca="false">COUNTIF($B99:$E99,R$3)</f>
        <v>0</v>
      </c>
      <c r="S99" s="24" t="n">
        <f aca="false">COUNTIF($B99:$E99,S$3)</f>
        <v>0</v>
      </c>
      <c r="T99" s="24" t="n">
        <f aca="false">COUNTIF($B99:$E99,T$3)</f>
        <v>0</v>
      </c>
      <c r="U99" s="24" t="n">
        <f aca="false">COUNTIF($B99:$E99,U$3)</f>
        <v>0</v>
      </c>
      <c r="V99" s="24" t="n">
        <f aca="false">COUNTIF($B99:$E99,V$3)</f>
        <v>0</v>
      </c>
      <c r="W99" s="24" t="n">
        <f aca="false">COUNTIF($B99:$E99,W$3)</f>
        <v>0</v>
      </c>
      <c r="X99" s="24" t="n">
        <f aca="false">COUNTIF($B99:$E99,X$3)</f>
        <v>0</v>
      </c>
      <c r="Y99" s="24" t="n">
        <f aca="false">COUNTIF($B99:$E99,Y$3)</f>
        <v>0</v>
      </c>
      <c r="Z99" s="24" t="n">
        <f aca="false">COUNTIF($B99:$E99,Z$3)</f>
        <v>0</v>
      </c>
      <c r="AA99" s="24" t="n">
        <f aca="false">COUNTIF($B99:$E99,AA$3)</f>
        <v>0</v>
      </c>
      <c r="AB99" s="24" t="n">
        <f aca="false">COUNTIF($B99:$E99,AB$3)</f>
        <v>0</v>
      </c>
    </row>
    <row r="100" customFormat="false" ht="15" hidden="false" customHeight="false" outlineLevel="0" collapsed="false">
      <c r="A100" s="24" t="n">
        <f aca="false">Input!A100</f>
        <v>96</v>
      </c>
      <c r="B100" s="24" t="str">
        <f aca="false">IF(Input!B100="","",IF(B$3&gt;Input!$H$4,"",IFERROR(MATCH(Input!B100,Input!$H$10:$H$29,0),"ERR")))</f>
        <v/>
      </c>
      <c r="C100" s="24" t="str">
        <f aca="false">IF(Input!C100="","",IF(C$3&gt;Input!$H$4,"",IFERROR(MATCH(Input!C100,Input!$H$10:$H$29,0),"ERR")))</f>
        <v/>
      </c>
      <c r="D100" s="24" t="str">
        <f aca="false">IF(Input!D100="","",IF(D$3&gt;Input!$H$4,"",IFERROR(MATCH(Input!D100,Input!$H$10:$H$29,0),"ERR")))</f>
        <v/>
      </c>
      <c r="E100" s="24" t="str">
        <f aca="false">IF(Input!E100="","",IF(E$3&gt;Input!$H$4,"",IFERROR(MATCH(Input!E100,Input!$H$10:$H$29,0),"ERR")))</f>
        <v/>
      </c>
      <c r="F100" s="24" t="n">
        <f aca="false">COUNT(B100:E100)</f>
        <v>0</v>
      </c>
      <c r="G100" s="24" t="n">
        <f aca="false">COUNTIF(B100:E100,"ERR")</f>
        <v>0</v>
      </c>
      <c r="H100" s="25" t="n">
        <f aca="false">IF(F100&gt;=2,1/(F100-1),0)</f>
        <v>0</v>
      </c>
      <c r="I100" s="24" t="n">
        <f aca="false">COUNTIF($B100:$E100,I$3)</f>
        <v>0</v>
      </c>
      <c r="J100" s="24" t="n">
        <f aca="false">COUNTIF($B100:$E100,J$3)</f>
        <v>0</v>
      </c>
      <c r="K100" s="24" t="n">
        <f aca="false">COUNTIF($B100:$E100,K$3)</f>
        <v>0</v>
      </c>
      <c r="L100" s="24" t="n">
        <f aca="false">COUNTIF($B100:$E100,L$3)</f>
        <v>0</v>
      </c>
      <c r="M100" s="24" t="n">
        <f aca="false">COUNTIF($B100:$E100,M$3)</f>
        <v>0</v>
      </c>
      <c r="N100" s="24" t="n">
        <f aca="false">COUNTIF($B100:$E100,N$3)</f>
        <v>0</v>
      </c>
      <c r="O100" s="24" t="n">
        <f aca="false">COUNTIF($B100:$E100,O$3)</f>
        <v>0</v>
      </c>
      <c r="P100" s="24" t="n">
        <f aca="false">COUNTIF($B100:$E100,P$3)</f>
        <v>0</v>
      </c>
      <c r="Q100" s="24" t="n">
        <f aca="false">COUNTIF($B100:$E100,Q$3)</f>
        <v>0</v>
      </c>
      <c r="R100" s="24" t="n">
        <f aca="false">COUNTIF($B100:$E100,R$3)</f>
        <v>0</v>
      </c>
      <c r="S100" s="24" t="n">
        <f aca="false">COUNTIF($B100:$E100,S$3)</f>
        <v>0</v>
      </c>
      <c r="T100" s="24" t="n">
        <f aca="false">COUNTIF($B100:$E100,T$3)</f>
        <v>0</v>
      </c>
      <c r="U100" s="24" t="n">
        <f aca="false">COUNTIF($B100:$E100,U$3)</f>
        <v>0</v>
      </c>
      <c r="V100" s="24" t="n">
        <f aca="false">COUNTIF($B100:$E100,V$3)</f>
        <v>0</v>
      </c>
      <c r="W100" s="24" t="n">
        <f aca="false">COUNTIF($B100:$E100,W$3)</f>
        <v>0</v>
      </c>
      <c r="X100" s="24" t="n">
        <f aca="false">COUNTIF($B100:$E100,X$3)</f>
        <v>0</v>
      </c>
      <c r="Y100" s="24" t="n">
        <f aca="false">COUNTIF($B100:$E100,Y$3)</f>
        <v>0</v>
      </c>
      <c r="Z100" s="24" t="n">
        <f aca="false">COUNTIF($B100:$E100,Z$3)</f>
        <v>0</v>
      </c>
      <c r="AA100" s="24" t="n">
        <f aca="false">COUNTIF($B100:$E100,AA$3)</f>
        <v>0</v>
      </c>
      <c r="AB100" s="24" t="n">
        <f aca="false">COUNTIF($B100:$E100,AB$3)</f>
        <v>0</v>
      </c>
    </row>
    <row r="101" customFormat="false" ht="15" hidden="false" customHeight="false" outlineLevel="0" collapsed="false">
      <c r="A101" s="24" t="n">
        <f aca="false">Input!A101</f>
        <v>97</v>
      </c>
      <c r="B101" s="24" t="str">
        <f aca="false">IF(Input!B101="","",IF(B$3&gt;Input!$H$4,"",IFERROR(MATCH(Input!B101,Input!$H$10:$H$29,0),"ERR")))</f>
        <v/>
      </c>
      <c r="C101" s="24" t="str">
        <f aca="false">IF(Input!C101="","",IF(C$3&gt;Input!$H$4,"",IFERROR(MATCH(Input!C101,Input!$H$10:$H$29,0),"ERR")))</f>
        <v/>
      </c>
      <c r="D101" s="24" t="str">
        <f aca="false">IF(Input!D101="","",IF(D$3&gt;Input!$H$4,"",IFERROR(MATCH(Input!D101,Input!$H$10:$H$29,0),"ERR")))</f>
        <v/>
      </c>
      <c r="E101" s="24" t="str">
        <f aca="false">IF(Input!E101="","",IF(E$3&gt;Input!$H$4,"",IFERROR(MATCH(Input!E101,Input!$H$10:$H$29,0),"ERR")))</f>
        <v/>
      </c>
      <c r="F101" s="24" t="n">
        <f aca="false">COUNT(B101:E101)</f>
        <v>0</v>
      </c>
      <c r="G101" s="24" t="n">
        <f aca="false">COUNTIF(B101:E101,"ERR")</f>
        <v>0</v>
      </c>
      <c r="H101" s="25" t="n">
        <f aca="false">IF(F101&gt;=2,1/(F101-1),0)</f>
        <v>0</v>
      </c>
      <c r="I101" s="24" t="n">
        <f aca="false">COUNTIF($B101:$E101,I$3)</f>
        <v>0</v>
      </c>
      <c r="J101" s="24" t="n">
        <f aca="false">COUNTIF($B101:$E101,J$3)</f>
        <v>0</v>
      </c>
      <c r="K101" s="24" t="n">
        <f aca="false">COUNTIF($B101:$E101,K$3)</f>
        <v>0</v>
      </c>
      <c r="L101" s="24" t="n">
        <f aca="false">COUNTIF($B101:$E101,L$3)</f>
        <v>0</v>
      </c>
      <c r="M101" s="24" t="n">
        <f aca="false">COUNTIF($B101:$E101,M$3)</f>
        <v>0</v>
      </c>
      <c r="N101" s="24" t="n">
        <f aca="false">COUNTIF($B101:$E101,N$3)</f>
        <v>0</v>
      </c>
      <c r="O101" s="24" t="n">
        <f aca="false">COUNTIF($B101:$E101,O$3)</f>
        <v>0</v>
      </c>
      <c r="P101" s="24" t="n">
        <f aca="false">COUNTIF($B101:$E101,P$3)</f>
        <v>0</v>
      </c>
      <c r="Q101" s="24" t="n">
        <f aca="false">COUNTIF($B101:$E101,Q$3)</f>
        <v>0</v>
      </c>
      <c r="R101" s="24" t="n">
        <f aca="false">COUNTIF($B101:$E101,R$3)</f>
        <v>0</v>
      </c>
      <c r="S101" s="24" t="n">
        <f aca="false">COUNTIF($B101:$E101,S$3)</f>
        <v>0</v>
      </c>
      <c r="T101" s="24" t="n">
        <f aca="false">COUNTIF($B101:$E101,T$3)</f>
        <v>0</v>
      </c>
      <c r="U101" s="24" t="n">
        <f aca="false">COUNTIF($B101:$E101,U$3)</f>
        <v>0</v>
      </c>
      <c r="V101" s="24" t="n">
        <f aca="false">COUNTIF($B101:$E101,V$3)</f>
        <v>0</v>
      </c>
      <c r="W101" s="24" t="n">
        <f aca="false">COUNTIF($B101:$E101,W$3)</f>
        <v>0</v>
      </c>
      <c r="X101" s="24" t="n">
        <f aca="false">COUNTIF($B101:$E101,X$3)</f>
        <v>0</v>
      </c>
      <c r="Y101" s="24" t="n">
        <f aca="false">COUNTIF($B101:$E101,Y$3)</f>
        <v>0</v>
      </c>
      <c r="Z101" s="24" t="n">
        <f aca="false">COUNTIF($B101:$E101,Z$3)</f>
        <v>0</v>
      </c>
      <c r="AA101" s="24" t="n">
        <f aca="false">COUNTIF($B101:$E101,AA$3)</f>
        <v>0</v>
      </c>
      <c r="AB101" s="24" t="n">
        <f aca="false">COUNTIF($B101:$E101,AB$3)</f>
        <v>0</v>
      </c>
    </row>
    <row r="102" customFormat="false" ht="15" hidden="false" customHeight="false" outlineLevel="0" collapsed="false">
      <c r="A102" s="24" t="n">
        <f aca="false">Input!A102</f>
        <v>98</v>
      </c>
      <c r="B102" s="24" t="str">
        <f aca="false">IF(Input!B102="","",IF(B$3&gt;Input!$H$4,"",IFERROR(MATCH(Input!B102,Input!$H$10:$H$29,0),"ERR")))</f>
        <v/>
      </c>
      <c r="C102" s="24" t="str">
        <f aca="false">IF(Input!C102="","",IF(C$3&gt;Input!$H$4,"",IFERROR(MATCH(Input!C102,Input!$H$10:$H$29,0),"ERR")))</f>
        <v/>
      </c>
      <c r="D102" s="24" t="str">
        <f aca="false">IF(Input!D102="","",IF(D$3&gt;Input!$H$4,"",IFERROR(MATCH(Input!D102,Input!$H$10:$H$29,0),"ERR")))</f>
        <v/>
      </c>
      <c r="E102" s="24" t="str">
        <f aca="false">IF(Input!E102="","",IF(E$3&gt;Input!$H$4,"",IFERROR(MATCH(Input!E102,Input!$H$10:$H$29,0),"ERR")))</f>
        <v/>
      </c>
      <c r="F102" s="24" t="n">
        <f aca="false">COUNT(B102:E102)</f>
        <v>0</v>
      </c>
      <c r="G102" s="24" t="n">
        <f aca="false">COUNTIF(B102:E102,"ERR")</f>
        <v>0</v>
      </c>
      <c r="H102" s="25" t="n">
        <f aca="false">IF(F102&gt;=2,1/(F102-1),0)</f>
        <v>0</v>
      </c>
      <c r="I102" s="24" t="n">
        <f aca="false">COUNTIF($B102:$E102,I$3)</f>
        <v>0</v>
      </c>
      <c r="J102" s="24" t="n">
        <f aca="false">COUNTIF($B102:$E102,J$3)</f>
        <v>0</v>
      </c>
      <c r="K102" s="24" t="n">
        <f aca="false">COUNTIF($B102:$E102,K$3)</f>
        <v>0</v>
      </c>
      <c r="L102" s="24" t="n">
        <f aca="false">COUNTIF($B102:$E102,L$3)</f>
        <v>0</v>
      </c>
      <c r="M102" s="24" t="n">
        <f aca="false">COUNTIF($B102:$E102,M$3)</f>
        <v>0</v>
      </c>
      <c r="N102" s="24" t="n">
        <f aca="false">COUNTIF($B102:$E102,N$3)</f>
        <v>0</v>
      </c>
      <c r="O102" s="24" t="n">
        <f aca="false">COUNTIF($B102:$E102,O$3)</f>
        <v>0</v>
      </c>
      <c r="P102" s="24" t="n">
        <f aca="false">COUNTIF($B102:$E102,P$3)</f>
        <v>0</v>
      </c>
      <c r="Q102" s="24" t="n">
        <f aca="false">COUNTIF($B102:$E102,Q$3)</f>
        <v>0</v>
      </c>
      <c r="R102" s="24" t="n">
        <f aca="false">COUNTIF($B102:$E102,R$3)</f>
        <v>0</v>
      </c>
      <c r="S102" s="24" t="n">
        <f aca="false">COUNTIF($B102:$E102,S$3)</f>
        <v>0</v>
      </c>
      <c r="T102" s="24" t="n">
        <f aca="false">COUNTIF($B102:$E102,T$3)</f>
        <v>0</v>
      </c>
      <c r="U102" s="24" t="n">
        <f aca="false">COUNTIF($B102:$E102,U$3)</f>
        <v>0</v>
      </c>
      <c r="V102" s="24" t="n">
        <f aca="false">COUNTIF($B102:$E102,V$3)</f>
        <v>0</v>
      </c>
      <c r="W102" s="24" t="n">
        <f aca="false">COUNTIF($B102:$E102,W$3)</f>
        <v>0</v>
      </c>
      <c r="X102" s="24" t="n">
        <f aca="false">COUNTIF($B102:$E102,X$3)</f>
        <v>0</v>
      </c>
      <c r="Y102" s="24" t="n">
        <f aca="false">COUNTIF($B102:$E102,Y$3)</f>
        <v>0</v>
      </c>
      <c r="Z102" s="24" t="n">
        <f aca="false">COUNTIF($B102:$E102,Z$3)</f>
        <v>0</v>
      </c>
      <c r="AA102" s="24" t="n">
        <f aca="false">COUNTIF($B102:$E102,AA$3)</f>
        <v>0</v>
      </c>
      <c r="AB102" s="24" t="n">
        <f aca="false">COUNTIF($B102:$E102,AB$3)</f>
        <v>0</v>
      </c>
    </row>
    <row r="103" customFormat="false" ht="15" hidden="false" customHeight="false" outlineLevel="0" collapsed="false">
      <c r="A103" s="24" t="n">
        <f aca="false">Input!A103</f>
        <v>99</v>
      </c>
      <c r="B103" s="24" t="str">
        <f aca="false">IF(Input!B103="","",IF(B$3&gt;Input!$H$4,"",IFERROR(MATCH(Input!B103,Input!$H$10:$H$29,0),"ERR")))</f>
        <v/>
      </c>
      <c r="C103" s="24" t="str">
        <f aca="false">IF(Input!C103="","",IF(C$3&gt;Input!$H$4,"",IFERROR(MATCH(Input!C103,Input!$H$10:$H$29,0),"ERR")))</f>
        <v/>
      </c>
      <c r="D103" s="24" t="str">
        <f aca="false">IF(Input!D103="","",IF(D$3&gt;Input!$H$4,"",IFERROR(MATCH(Input!D103,Input!$H$10:$H$29,0),"ERR")))</f>
        <v/>
      </c>
      <c r="E103" s="24" t="str">
        <f aca="false">IF(Input!E103="","",IF(E$3&gt;Input!$H$4,"",IFERROR(MATCH(Input!E103,Input!$H$10:$H$29,0),"ERR")))</f>
        <v/>
      </c>
      <c r="F103" s="24" t="n">
        <f aca="false">COUNT(B103:E103)</f>
        <v>0</v>
      </c>
      <c r="G103" s="24" t="n">
        <f aca="false">COUNTIF(B103:E103,"ERR")</f>
        <v>0</v>
      </c>
      <c r="H103" s="25" t="n">
        <f aca="false">IF(F103&gt;=2,1/(F103-1),0)</f>
        <v>0</v>
      </c>
      <c r="I103" s="24" t="n">
        <f aca="false">COUNTIF($B103:$E103,I$3)</f>
        <v>0</v>
      </c>
      <c r="J103" s="24" t="n">
        <f aca="false">COUNTIF($B103:$E103,J$3)</f>
        <v>0</v>
      </c>
      <c r="K103" s="24" t="n">
        <f aca="false">COUNTIF($B103:$E103,K$3)</f>
        <v>0</v>
      </c>
      <c r="L103" s="24" t="n">
        <f aca="false">COUNTIF($B103:$E103,L$3)</f>
        <v>0</v>
      </c>
      <c r="M103" s="24" t="n">
        <f aca="false">COUNTIF($B103:$E103,M$3)</f>
        <v>0</v>
      </c>
      <c r="N103" s="24" t="n">
        <f aca="false">COUNTIF($B103:$E103,N$3)</f>
        <v>0</v>
      </c>
      <c r="O103" s="24" t="n">
        <f aca="false">COUNTIF($B103:$E103,O$3)</f>
        <v>0</v>
      </c>
      <c r="P103" s="24" t="n">
        <f aca="false">COUNTIF($B103:$E103,P$3)</f>
        <v>0</v>
      </c>
      <c r="Q103" s="24" t="n">
        <f aca="false">COUNTIF($B103:$E103,Q$3)</f>
        <v>0</v>
      </c>
      <c r="R103" s="24" t="n">
        <f aca="false">COUNTIF($B103:$E103,R$3)</f>
        <v>0</v>
      </c>
      <c r="S103" s="24" t="n">
        <f aca="false">COUNTIF($B103:$E103,S$3)</f>
        <v>0</v>
      </c>
      <c r="T103" s="24" t="n">
        <f aca="false">COUNTIF($B103:$E103,T$3)</f>
        <v>0</v>
      </c>
      <c r="U103" s="24" t="n">
        <f aca="false">COUNTIF($B103:$E103,U$3)</f>
        <v>0</v>
      </c>
      <c r="V103" s="24" t="n">
        <f aca="false">COUNTIF($B103:$E103,V$3)</f>
        <v>0</v>
      </c>
      <c r="W103" s="24" t="n">
        <f aca="false">COUNTIF($B103:$E103,W$3)</f>
        <v>0</v>
      </c>
      <c r="X103" s="24" t="n">
        <f aca="false">COUNTIF($B103:$E103,X$3)</f>
        <v>0</v>
      </c>
      <c r="Y103" s="24" t="n">
        <f aca="false">COUNTIF($B103:$E103,Y$3)</f>
        <v>0</v>
      </c>
      <c r="Z103" s="24" t="n">
        <f aca="false">COUNTIF($B103:$E103,Z$3)</f>
        <v>0</v>
      </c>
      <c r="AA103" s="24" t="n">
        <f aca="false">COUNTIF($B103:$E103,AA$3)</f>
        <v>0</v>
      </c>
      <c r="AB103" s="24" t="n">
        <f aca="false">COUNTIF($B103:$E103,AB$3)</f>
        <v>0</v>
      </c>
    </row>
    <row r="104" customFormat="false" ht="15" hidden="false" customHeight="false" outlineLevel="0" collapsed="false">
      <c r="A104" s="24" t="n">
        <f aca="false">Input!A104</f>
        <v>100</v>
      </c>
      <c r="B104" s="24" t="str">
        <f aca="false">IF(Input!B104="","",IF(B$3&gt;Input!$H$4,"",IFERROR(MATCH(Input!B104,Input!$H$10:$H$29,0),"ERR")))</f>
        <v/>
      </c>
      <c r="C104" s="24" t="str">
        <f aca="false">IF(Input!C104="","",IF(C$3&gt;Input!$H$4,"",IFERROR(MATCH(Input!C104,Input!$H$10:$H$29,0),"ERR")))</f>
        <v/>
      </c>
      <c r="D104" s="24" t="str">
        <f aca="false">IF(Input!D104="","",IF(D$3&gt;Input!$H$4,"",IFERROR(MATCH(Input!D104,Input!$H$10:$H$29,0),"ERR")))</f>
        <v/>
      </c>
      <c r="E104" s="24" t="str">
        <f aca="false">IF(Input!E104="","",IF(E$3&gt;Input!$H$4,"",IFERROR(MATCH(Input!E104,Input!$H$10:$H$29,0),"ERR")))</f>
        <v/>
      </c>
      <c r="F104" s="24" t="n">
        <f aca="false">COUNT(B104:E104)</f>
        <v>0</v>
      </c>
      <c r="G104" s="24" t="n">
        <f aca="false">COUNTIF(B104:E104,"ERR")</f>
        <v>0</v>
      </c>
      <c r="H104" s="25" t="n">
        <f aca="false">IF(F104&gt;=2,1/(F104-1),0)</f>
        <v>0</v>
      </c>
      <c r="I104" s="24" t="n">
        <f aca="false">COUNTIF($B104:$E104,I$3)</f>
        <v>0</v>
      </c>
      <c r="J104" s="24" t="n">
        <f aca="false">COUNTIF($B104:$E104,J$3)</f>
        <v>0</v>
      </c>
      <c r="K104" s="24" t="n">
        <f aca="false">COUNTIF($B104:$E104,K$3)</f>
        <v>0</v>
      </c>
      <c r="L104" s="24" t="n">
        <f aca="false">COUNTIF($B104:$E104,L$3)</f>
        <v>0</v>
      </c>
      <c r="M104" s="24" t="n">
        <f aca="false">COUNTIF($B104:$E104,M$3)</f>
        <v>0</v>
      </c>
      <c r="N104" s="24" t="n">
        <f aca="false">COUNTIF($B104:$E104,N$3)</f>
        <v>0</v>
      </c>
      <c r="O104" s="24" t="n">
        <f aca="false">COUNTIF($B104:$E104,O$3)</f>
        <v>0</v>
      </c>
      <c r="P104" s="24" t="n">
        <f aca="false">COUNTIF($B104:$E104,P$3)</f>
        <v>0</v>
      </c>
      <c r="Q104" s="24" t="n">
        <f aca="false">COUNTIF($B104:$E104,Q$3)</f>
        <v>0</v>
      </c>
      <c r="R104" s="24" t="n">
        <f aca="false">COUNTIF($B104:$E104,R$3)</f>
        <v>0</v>
      </c>
      <c r="S104" s="24" t="n">
        <f aca="false">COUNTIF($B104:$E104,S$3)</f>
        <v>0</v>
      </c>
      <c r="T104" s="24" t="n">
        <f aca="false">COUNTIF($B104:$E104,T$3)</f>
        <v>0</v>
      </c>
      <c r="U104" s="24" t="n">
        <f aca="false">COUNTIF($B104:$E104,U$3)</f>
        <v>0</v>
      </c>
      <c r="V104" s="24" t="n">
        <f aca="false">COUNTIF($B104:$E104,V$3)</f>
        <v>0</v>
      </c>
      <c r="W104" s="24" t="n">
        <f aca="false">COUNTIF($B104:$E104,W$3)</f>
        <v>0</v>
      </c>
      <c r="X104" s="24" t="n">
        <f aca="false">COUNTIF($B104:$E104,X$3)</f>
        <v>0</v>
      </c>
      <c r="Y104" s="24" t="n">
        <f aca="false">COUNTIF($B104:$E104,Y$3)</f>
        <v>0</v>
      </c>
      <c r="Z104" s="24" t="n">
        <f aca="false">COUNTIF($B104:$E104,Z$3)</f>
        <v>0</v>
      </c>
      <c r="AA104" s="24" t="n">
        <f aca="false">COUNTIF($B104:$E104,AA$3)</f>
        <v>0</v>
      </c>
      <c r="AB104" s="24" t="n">
        <f aca="false">COUNTIF($B104:$E104,AB$3)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93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F12" activeCellId="0" sqref="F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3"/>
    <col collapsed="false" customWidth="true" hidden="false" outlineLevel="0" max="5" min="3" style="1" width="10"/>
    <col collapsed="false" customWidth="true" hidden="false" outlineLevel="0" max="6" min="6" style="1" width="12"/>
    <col collapsed="false" customWidth="true" hidden="false" outlineLevel="0" max="23" min="7" style="1" width="10"/>
  </cols>
  <sheetData>
    <row r="1" customFormat="false" ht="17.35" hidden="false" customHeight="false" outlineLevel="0" collapsed="false">
      <c r="A1" s="2" t="s">
        <v>130</v>
      </c>
    </row>
    <row r="2" customFormat="false" ht="15" hidden="false" customHeight="false" outlineLevel="0" collapsed="false">
      <c r="A2" s="7" t="s">
        <v>131</v>
      </c>
    </row>
    <row r="3" customFormat="false" ht="15" hidden="false" customHeight="false" outlineLevel="0" collapsed="false">
      <c r="A3" s="3" t="s">
        <v>132</v>
      </c>
      <c r="B3" s="3"/>
      <c r="C3" s="3"/>
      <c r="D3" s="3"/>
      <c r="E3" s="3"/>
      <c r="F3" s="3"/>
      <c r="G3" s="3"/>
    </row>
    <row r="4" customFormat="false" ht="15" hidden="false" customHeight="false" outlineLevel="0" collapsed="false">
      <c r="A4" s="8" t="s">
        <v>133</v>
      </c>
      <c r="F4" s="26" t="str">
        <f aca="false">Input!H5</f>
        <v>Nominal</v>
      </c>
    </row>
    <row r="5" customFormat="false" ht="15" hidden="false" customHeight="false" outlineLevel="0" collapsed="false">
      <c r="A5" s="8" t="s">
        <v>134</v>
      </c>
      <c r="F5" s="27" t="n">
        <f aca="false">Input!H4</f>
        <v>3</v>
      </c>
    </row>
    <row r="6" customFormat="false" ht="15" hidden="false" customHeight="false" outlineLevel="0" collapsed="false">
      <c r="A6" s="8" t="s">
        <v>118</v>
      </c>
      <c r="F6" s="27" t="n">
        <f aca="false">COUNTIF(Hitung_Unit!F5:F104,"&gt;=1")</f>
        <v>12</v>
      </c>
    </row>
    <row r="7" customFormat="false" ht="15" hidden="false" customHeight="false" outlineLevel="0" collapsed="false">
      <c r="A7" s="8" t="s">
        <v>135</v>
      </c>
      <c r="F7" s="27" t="n">
        <f aca="false">COUNTIF(Hitung_Unit!F5:F104,"&gt;=2")</f>
        <v>12</v>
      </c>
    </row>
    <row r="8" customFormat="false" ht="15" hidden="false" customHeight="false" outlineLevel="0" collapsed="false">
      <c r="A8" s="8" t="s">
        <v>120</v>
      </c>
      <c r="F8" s="27" t="n">
        <f aca="false">$W$41</f>
        <v>24</v>
      </c>
    </row>
    <row r="9" customFormat="false" ht="15" hidden="false" customHeight="false" outlineLevel="0" collapsed="false">
      <c r="A9" s="8" t="s">
        <v>136</v>
      </c>
      <c r="F9" s="28" t="n">
        <f aca="false">IF($W$41&gt;1,SUMPRODUCT($C$21:$V$40,$C$72:$V$91)/$W$41,"")</f>
        <v>0</v>
      </c>
    </row>
    <row r="10" customFormat="false" ht="15" hidden="false" customHeight="false" outlineLevel="0" collapsed="false">
      <c r="A10" s="8" t="s">
        <v>137</v>
      </c>
      <c r="F10" s="28" t="n">
        <f aca="false">IF($W$41&gt;1,SUMPRODUCT($C$47:$V$66,$C$72:$V$91)/$W$41,"")</f>
        <v>0.811594202898551</v>
      </c>
    </row>
    <row r="11" customFormat="false" ht="15" hidden="false" customHeight="false" outlineLevel="0" collapsed="false">
      <c r="A11" s="12" t="s">
        <v>138</v>
      </c>
      <c r="F11" s="29" t="n">
        <f aca="false">IF(F8&lt;=1,"N/A",IF(F10=0,"N/A",1-F9/F10))</f>
        <v>1</v>
      </c>
    </row>
    <row r="12" customFormat="false" ht="15" hidden="false" customHeight="false" outlineLevel="0" collapsed="false">
      <c r="A12" s="8" t="s">
        <v>117</v>
      </c>
      <c r="F12" s="30" t="str">
        <f aca="false">IF(F11="N/A","Tidak dapat dihitung (data kurang / semua nilai sama)",IF(F11&gt;=0.8,"Reliabel (α ≥ 0,800)",IF(F11&gt;=0.667,"Tentatif (0,667 ≤ α &lt; 0,800)","Tidak reliabel (α &lt; 0,667)")))</f>
        <v>Reliabel (α ≥ 0,800)</v>
      </c>
    </row>
    <row r="13" customFormat="false" ht="15" hidden="false" customHeight="false" outlineLevel="0" collapsed="false">
      <c r="A13" s="8" t="s">
        <v>139</v>
      </c>
      <c r="F13" s="31" t="n">
        <f aca="false">IF($W$41&gt;1,(C21+D22+E23+F24+G25+H26+I27+J28+K29+L30+M31+N32+O33+P34+Q35+R36+S37+T38+U39+V40)/$W$41,"")</f>
        <v>1</v>
      </c>
    </row>
    <row r="14" customFormat="false" ht="15" hidden="false" customHeight="false" outlineLevel="0" collapsed="false">
      <c r="A14" s="8" t="s">
        <v>140</v>
      </c>
      <c r="F14" s="27" t="n">
        <f aca="false">SUM(Hitung_Unit!G5:G104)</f>
        <v>0</v>
      </c>
    </row>
    <row r="15" customFormat="false" ht="15" hidden="false" customHeight="false" outlineLevel="0" collapsed="false">
      <c r="A15" s="8" t="s">
        <v>122</v>
      </c>
      <c r="F15" s="30" t="str">
        <f aca="false">IF(OR(Input!H4&lt;2,Input!H4&gt;4),"PERIKSA: jumlah coder harus 2–4",IF(AND(Input!H5&lt;&gt;"Nominal",Input!H5&lt;&gt;"Ordinal"),"PERIKSA: jenis data harus Nominal/Ordinal",IF(COUNTA(Input!H10:H29)&lt;2,"PERIKSA: isi minimal 2 kategori di Input",IF(F14&gt;0,"PERIKSA: "&amp;F14&amp;" entri tidak ada di daftar kategori (sel merah di Input)",IF(F6=0,"Belum ada data",IF(COUNTA(Input!B5:E104)&gt;SUM(Input!B3:E3),"Catatan: ada data pada kolom coder yang tidak dipakai (abu-abu)",IF(F7&lt;F6,"Catatan: "&amp;(F6-F7)&amp;" unit hanya punya 1 nilai, tidak ikut dihitung","OK – data valid")))))))</f>
        <v>OK – data valid</v>
      </c>
    </row>
    <row r="18" customFormat="false" ht="15" hidden="false" customHeight="false" outlineLevel="0" collapsed="false">
      <c r="A18" s="3" t="s">
        <v>141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customFormat="false" ht="15" hidden="false" customHeight="false" outlineLevel="0" collapsed="false">
      <c r="A19" s="15" t="s">
        <v>142</v>
      </c>
      <c r="B19" s="15" t="s">
        <v>143</v>
      </c>
      <c r="C19" s="15" t="n">
        <v>1</v>
      </c>
      <c r="D19" s="15" t="n">
        <v>2</v>
      </c>
      <c r="E19" s="15" t="n">
        <v>3</v>
      </c>
      <c r="F19" s="15" t="n">
        <v>4</v>
      </c>
      <c r="G19" s="15" t="n">
        <v>5</v>
      </c>
      <c r="H19" s="15" t="n">
        <v>6</v>
      </c>
      <c r="I19" s="15" t="n">
        <v>7</v>
      </c>
      <c r="J19" s="15" t="n">
        <v>8</v>
      </c>
      <c r="K19" s="15" t="n">
        <v>9</v>
      </c>
      <c r="L19" s="15" t="n">
        <v>10</v>
      </c>
      <c r="M19" s="15" t="n">
        <v>11</v>
      </c>
      <c r="N19" s="15" t="n">
        <v>12</v>
      </c>
      <c r="O19" s="15" t="n">
        <v>13</v>
      </c>
      <c r="P19" s="15" t="n">
        <v>14</v>
      </c>
      <c r="Q19" s="15" t="n">
        <v>15</v>
      </c>
      <c r="R19" s="15" t="n">
        <v>16</v>
      </c>
      <c r="S19" s="15" t="n">
        <v>17</v>
      </c>
      <c r="T19" s="15" t="n">
        <v>18</v>
      </c>
      <c r="U19" s="15" t="n">
        <v>19</v>
      </c>
      <c r="V19" s="15" t="n">
        <v>20</v>
      </c>
      <c r="W19" s="15" t="s">
        <v>144</v>
      </c>
    </row>
    <row r="20" customFormat="false" ht="15" hidden="false" customHeight="false" outlineLevel="0" collapsed="false">
      <c r="A20" s="15"/>
      <c r="B20" s="15"/>
      <c r="C20" s="15" t="str">
        <f aca="false">IF(Input!$H$10="","",Input!$H$10)</f>
        <v>K1</v>
      </c>
      <c r="D20" s="15" t="str">
        <f aca="false">IF(Input!$H$11="","",Input!$H$11)</f>
        <v>K2</v>
      </c>
      <c r="E20" s="15" t="str">
        <f aca="false">IF(Input!$H$12="","",Input!$H$12)</f>
        <v>K3</v>
      </c>
      <c r="F20" s="15" t="str">
        <f aca="false">IF(Input!$H$13="","",Input!$H$13)</f>
        <v>K4</v>
      </c>
      <c r="G20" s="15" t="str">
        <f aca="false">IF(Input!$H$14="","",Input!$H$14)</f>
        <v>K5</v>
      </c>
      <c r="H20" s="15" t="str">
        <f aca="false">IF(Input!$H$15="","",Input!$H$15)</f>
        <v/>
      </c>
      <c r="I20" s="15" t="str">
        <f aca="false">IF(Input!$H$16="","",Input!$H$16)</f>
        <v/>
      </c>
      <c r="J20" s="15" t="str">
        <f aca="false">IF(Input!$H$17="","",Input!$H$17)</f>
        <v/>
      </c>
      <c r="K20" s="15" t="str">
        <f aca="false">IF(Input!$H$18="","",Input!$H$18)</f>
        <v/>
      </c>
      <c r="L20" s="15" t="str">
        <f aca="false">IF(Input!$H$19="","",Input!$H$19)</f>
        <v/>
      </c>
      <c r="M20" s="15" t="str">
        <f aca="false">IF(Input!$H$20="","",Input!$H$20)</f>
        <v/>
      </c>
      <c r="N20" s="15" t="str">
        <f aca="false">IF(Input!$H$21="","",Input!$H$21)</f>
        <v/>
      </c>
      <c r="O20" s="15" t="str">
        <f aca="false">IF(Input!$H$22="","",Input!$H$22)</f>
        <v/>
      </c>
      <c r="P20" s="15" t="str">
        <f aca="false">IF(Input!$H$23="","",Input!$H$23)</f>
        <v/>
      </c>
      <c r="Q20" s="15" t="str">
        <f aca="false">IF(Input!$H$24="","",Input!$H$24)</f>
        <v/>
      </c>
      <c r="R20" s="15" t="str">
        <f aca="false">IF(Input!$H$25="","",Input!$H$25)</f>
        <v/>
      </c>
      <c r="S20" s="15" t="str">
        <f aca="false">IF(Input!$H$26="","",Input!$H$26)</f>
        <v/>
      </c>
      <c r="T20" s="15" t="str">
        <f aca="false">IF(Input!$H$27="","",Input!$H$27)</f>
        <v/>
      </c>
      <c r="U20" s="15" t="str">
        <f aca="false">IF(Input!$H$28="","",Input!$H$28)</f>
        <v/>
      </c>
      <c r="V20" s="15" t="str">
        <f aca="false">IF(Input!$H$29="","",Input!$H$29)</f>
        <v/>
      </c>
      <c r="W20" s="15"/>
    </row>
    <row r="21" customFormat="false" ht="15" hidden="false" customHeight="false" outlineLevel="0" collapsed="false">
      <c r="A21" s="15" t="n">
        <v>1</v>
      </c>
      <c r="B21" s="15" t="str">
        <f aca="false">IF(Input!$H$10="","",Input!$H$10)</f>
        <v>K1</v>
      </c>
      <c r="C21" s="32" t="n">
        <f aca="false">SUMPRODUCT(Hitung_Unit!$I$5:$I$104,Hitung_Unit!$I$5:$I$104-1,Hitung_Unit!$H$5:$H$104)</f>
        <v>2</v>
      </c>
      <c r="D21" s="32" t="n">
        <f aca="false">SUMPRODUCT(Hitung_Unit!$I$5:$I$104,Hitung_Unit!$J$5:$J$104,Hitung_Unit!$H$5:$H$104)</f>
        <v>0</v>
      </c>
      <c r="E21" s="32" t="n">
        <f aca="false">SUMPRODUCT(Hitung_Unit!$I$5:$I$104,Hitung_Unit!$K$5:$K$104,Hitung_Unit!$H$5:$H$104)</f>
        <v>0</v>
      </c>
      <c r="F21" s="32" t="n">
        <f aca="false">SUMPRODUCT(Hitung_Unit!$I$5:$I$104,Hitung_Unit!$L$5:$L$104,Hitung_Unit!$H$5:$H$104)</f>
        <v>0</v>
      </c>
      <c r="G21" s="32" t="n">
        <f aca="false">SUMPRODUCT(Hitung_Unit!$I$5:$I$104,Hitung_Unit!$M$5:$M$104,Hitung_Unit!$H$5:$H$104)</f>
        <v>0</v>
      </c>
      <c r="H21" s="32" t="n">
        <f aca="false">SUMPRODUCT(Hitung_Unit!$I$5:$I$104,Hitung_Unit!$N$5:$N$104,Hitung_Unit!$H$5:$H$104)</f>
        <v>0</v>
      </c>
      <c r="I21" s="32" t="n">
        <f aca="false">SUMPRODUCT(Hitung_Unit!$I$5:$I$104,Hitung_Unit!$O$5:$O$104,Hitung_Unit!$H$5:$H$104)</f>
        <v>0</v>
      </c>
      <c r="J21" s="32" t="n">
        <f aca="false">SUMPRODUCT(Hitung_Unit!$I$5:$I$104,Hitung_Unit!$P$5:$P$104,Hitung_Unit!$H$5:$H$104)</f>
        <v>0</v>
      </c>
      <c r="K21" s="32" t="n">
        <f aca="false">SUMPRODUCT(Hitung_Unit!$I$5:$I$104,Hitung_Unit!$Q$5:$Q$104,Hitung_Unit!$H$5:$H$104)</f>
        <v>0</v>
      </c>
      <c r="L21" s="32" t="n">
        <f aca="false">SUMPRODUCT(Hitung_Unit!$I$5:$I$104,Hitung_Unit!$R$5:$R$104,Hitung_Unit!$H$5:$H$104)</f>
        <v>0</v>
      </c>
      <c r="M21" s="32" t="n">
        <f aca="false">SUMPRODUCT(Hitung_Unit!$I$5:$I$104,Hitung_Unit!$S$5:$S$104,Hitung_Unit!$H$5:$H$104)</f>
        <v>0</v>
      </c>
      <c r="N21" s="32" t="n">
        <f aca="false">SUMPRODUCT(Hitung_Unit!$I$5:$I$104,Hitung_Unit!$T$5:$T$104,Hitung_Unit!$H$5:$H$104)</f>
        <v>0</v>
      </c>
      <c r="O21" s="32" t="n">
        <f aca="false">SUMPRODUCT(Hitung_Unit!$I$5:$I$104,Hitung_Unit!$U$5:$U$104,Hitung_Unit!$H$5:$H$104)</f>
        <v>0</v>
      </c>
      <c r="P21" s="32" t="n">
        <f aca="false">SUMPRODUCT(Hitung_Unit!$I$5:$I$104,Hitung_Unit!$V$5:$V$104,Hitung_Unit!$H$5:$H$104)</f>
        <v>0</v>
      </c>
      <c r="Q21" s="32" t="n">
        <f aca="false">SUMPRODUCT(Hitung_Unit!$I$5:$I$104,Hitung_Unit!$W$5:$W$104,Hitung_Unit!$H$5:$H$104)</f>
        <v>0</v>
      </c>
      <c r="R21" s="32" t="n">
        <f aca="false">SUMPRODUCT(Hitung_Unit!$I$5:$I$104,Hitung_Unit!$X$5:$X$104,Hitung_Unit!$H$5:$H$104)</f>
        <v>0</v>
      </c>
      <c r="S21" s="32" t="n">
        <f aca="false">SUMPRODUCT(Hitung_Unit!$I$5:$I$104,Hitung_Unit!$Y$5:$Y$104,Hitung_Unit!$H$5:$H$104)</f>
        <v>0</v>
      </c>
      <c r="T21" s="32" t="n">
        <f aca="false">SUMPRODUCT(Hitung_Unit!$I$5:$I$104,Hitung_Unit!$Z$5:$Z$104,Hitung_Unit!$H$5:$H$104)</f>
        <v>0</v>
      </c>
      <c r="U21" s="32" t="n">
        <f aca="false">SUMPRODUCT(Hitung_Unit!$I$5:$I$104,Hitung_Unit!$AA$5:$AA$104,Hitung_Unit!$H$5:$H$104)</f>
        <v>0</v>
      </c>
      <c r="V21" s="32" t="n">
        <f aca="false">SUMPRODUCT(Hitung_Unit!$I$5:$I$104,Hitung_Unit!$AB$5:$AB$104,Hitung_Unit!$H$5:$H$104)</f>
        <v>0</v>
      </c>
      <c r="W21" s="33" t="n">
        <f aca="false">SUM(C21:V21)</f>
        <v>2</v>
      </c>
    </row>
    <row r="22" customFormat="false" ht="15" hidden="false" customHeight="false" outlineLevel="0" collapsed="false">
      <c r="A22" s="15" t="n">
        <v>2</v>
      </c>
      <c r="B22" s="15" t="str">
        <f aca="false">IF(Input!$H$11="","",Input!$H$11)</f>
        <v>K2</v>
      </c>
      <c r="C22" s="32" t="n">
        <f aca="false">SUMPRODUCT(Hitung_Unit!$J$5:$J$104,Hitung_Unit!$I$5:$I$104,Hitung_Unit!$H$5:$H$104)</f>
        <v>0</v>
      </c>
      <c r="D22" s="32" t="n">
        <f aca="false">SUMPRODUCT(Hitung_Unit!$J$5:$J$104,Hitung_Unit!$J$5:$J$104-1,Hitung_Unit!$H$5:$H$104)</f>
        <v>4</v>
      </c>
      <c r="E22" s="32" t="n">
        <f aca="false">SUMPRODUCT(Hitung_Unit!$J$5:$J$104,Hitung_Unit!$K$5:$K$104,Hitung_Unit!$H$5:$H$104)</f>
        <v>0</v>
      </c>
      <c r="F22" s="32" t="n">
        <f aca="false">SUMPRODUCT(Hitung_Unit!$J$5:$J$104,Hitung_Unit!$L$5:$L$104,Hitung_Unit!$H$5:$H$104)</f>
        <v>0</v>
      </c>
      <c r="G22" s="32" t="n">
        <f aca="false">SUMPRODUCT(Hitung_Unit!$J$5:$J$104,Hitung_Unit!$M$5:$M$104,Hitung_Unit!$H$5:$H$104)</f>
        <v>0</v>
      </c>
      <c r="H22" s="32" t="n">
        <f aca="false">SUMPRODUCT(Hitung_Unit!$J$5:$J$104,Hitung_Unit!$N$5:$N$104,Hitung_Unit!$H$5:$H$104)</f>
        <v>0</v>
      </c>
      <c r="I22" s="32" t="n">
        <f aca="false">SUMPRODUCT(Hitung_Unit!$J$5:$J$104,Hitung_Unit!$O$5:$O$104,Hitung_Unit!$H$5:$H$104)</f>
        <v>0</v>
      </c>
      <c r="J22" s="32" t="n">
        <f aca="false">SUMPRODUCT(Hitung_Unit!$J$5:$J$104,Hitung_Unit!$P$5:$P$104,Hitung_Unit!$H$5:$H$104)</f>
        <v>0</v>
      </c>
      <c r="K22" s="32" t="n">
        <f aca="false">SUMPRODUCT(Hitung_Unit!$J$5:$J$104,Hitung_Unit!$Q$5:$Q$104,Hitung_Unit!$H$5:$H$104)</f>
        <v>0</v>
      </c>
      <c r="L22" s="32" t="n">
        <f aca="false">SUMPRODUCT(Hitung_Unit!$J$5:$J$104,Hitung_Unit!$R$5:$R$104,Hitung_Unit!$H$5:$H$104)</f>
        <v>0</v>
      </c>
      <c r="M22" s="32" t="n">
        <f aca="false">SUMPRODUCT(Hitung_Unit!$J$5:$J$104,Hitung_Unit!$S$5:$S$104,Hitung_Unit!$H$5:$H$104)</f>
        <v>0</v>
      </c>
      <c r="N22" s="32" t="n">
        <f aca="false">SUMPRODUCT(Hitung_Unit!$J$5:$J$104,Hitung_Unit!$T$5:$T$104,Hitung_Unit!$H$5:$H$104)</f>
        <v>0</v>
      </c>
      <c r="O22" s="32" t="n">
        <f aca="false">SUMPRODUCT(Hitung_Unit!$J$5:$J$104,Hitung_Unit!$U$5:$U$104,Hitung_Unit!$H$5:$H$104)</f>
        <v>0</v>
      </c>
      <c r="P22" s="32" t="n">
        <f aca="false">SUMPRODUCT(Hitung_Unit!$J$5:$J$104,Hitung_Unit!$V$5:$V$104,Hitung_Unit!$H$5:$H$104)</f>
        <v>0</v>
      </c>
      <c r="Q22" s="32" t="n">
        <f aca="false">SUMPRODUCT(Hitung_Unit!$J$5:$J$104,Hitung_Unit!$W$5:$W$104,Hitung_Unit!$H$5:$H$104)</f>
        <v>0</v>
      </c>
      <c r="R22" s="32" t="n">
        <f aca="false">SUMPRODUCT(Hitung_Unit!$J$5:$J$104,Hitung_Unit!$X$5:$X$104,Hitung_Unit!$H$5:$H$104)</f>
        <v>0</v>
      </c>
      <c r="S22" s="32" t="n">
        <f aca="false">SUMPRODUCT(Hitung_Unit!$J$5:$J$104,Hitung_Unit!$Y$5:$Y$104,Hitung_Unit!$H$5:$H$104)</f>
        <v>0</v>
      </c>
      <c r="T22" s="32" t="n">
        <f aca="false">SUMPRODUCT(Hitung_Unit!$J$5:$J$104,Hitung_Unit!$Z$5:$Z$104,Hitung_Unit!$H$5:$H$104)</f>
        <v>0</v>
      </c>
      <c r="U22" s="32" t="n">
        <f aca="false">SUMPRODUCT(Hitung_Unit!$J$5:$J$104,Hitung_Unit!$AA$5:$AA$104,Hitung_Unit!$H$5:$H$104)</f>
        <v>0</v>
      </c>
      <c r="V22" s="32" t="n">
        <f aca="false">SUMPRODUCT(Hitung_Unit!$J$5:$J$104,Hitung_Unit!$AB$5:$AB$104,Hitung_Unit!$H$5:$H$104)</f>
        <v>0</v>
      </c>
      <c r="W22" s="33" t="n">
        <f aca="false">SUM(C22:V22)</f>
        <v>4</v>
      </c>
    </row>
    <row r="23" customFormat="false" ht="15" hidden="false" customHeight="false" outlineLevel="0" collapsed="false">
      <c r="A23" s="15" t="n">
        <v>3</v>
      </c>
      <c r="B23" s="15" t="str">
        <f aca="false">IF(Input!$H$12="","",Input!$H$12)</f>
        <v>K3</v>
      </c>
      <c r="C23" s="32" t="n">
        <f aca="false">SUMPRODUCT(Hitung_Unit!$K$5:$K$104,Hitung_Unit!$I$5:$I$104,Hitung_Unit!$H$5:$H$104)</f>
        <v>0</v>
      </c>
      <c r="D23" s="32" t="n">
        <f aca="false">SUMPRODUCT(Hitung_Unit!$K$5:$K$104,Hitung_Unit!$J$5:$J$104,Hitung_Unit!$H$5:$H$104)</f>
        <v>0</v>
      </c>
      <c r="E23" s="32" t="n">
        <f aca="false">SUMPRODUCT(Hitung_Unit!$K$5:$K$104,Hitung_Unit!$K$5:$K$104-1,Hitung_Unit!$H$5:$H$104)</f>
        <v>6</v>
      </c>
      <c r="F23" s="32" t="n">
        <f aca="false">SUMPRODUCT(Hitung_Unit!$K$5:$K$104,Hitung_Unit!$L$5:$L$104,Hitung_Unit!$H$5:$H$104)</f>
        <v>0</v>
      </c>
      <c r="G23" s="32" t="n">
        <f aca="false">SUMPRODUCT(Hitung_Unit!$K$5:$K$104,Hitung_Unit!$M$5:$M$104,Hitung_Unit!$H$5:$H$104)</f>
        <v>0</v>
      </c>
      <c r="H23" s="32" t="n">
        <f aca="false">SUMPRODUCT(Hitung_Unit!$K$5:$K$104,Hitung_Unit!$N$5:$N$104,Hitung_Unit!$H$5:$H$104)</f>
        <v>0</v>
      </c>
      <c r="I23" s="32" t="n">
        <f aca="false">SUMPRODUCT(Hitung_Unit!$K$5:$K$104,Hitung_Unit!$O$5:$O$104,Hitung_Unit!$H$5:$H$104)</f>
        <v>0</v>
      </c>
      <c r="J23" s="32" t="n">
        <f aca="false">SUMPRODUCT(Hitung_Unit!$K$5:$K$104,Hitung_Unit!$P$5:$P$104,Hitung_Unit!$H$5:$H$104)</f>
        <v>0</v>
      </c>
      <c r="K23" s="32" t="n">
        <f aca="false">SUMPRODUCT(Hitung_Unit!$K$5:$K$104,Hitung_Unit!$Q$5:$Q$104,Hitung_Unit!$H$5:$H$104)</f>
        <v>0</v>
      </c>
      <c r="L23" s="32" t="n">
        <f aca="false">SUMPRODUCT(Hitung_Unit!$K$5:$K$104,Hitung_Unit!$R$5:$R$104,Hitung_Unit!$H$5:$H$104)</f>
        <v>0</v>
      </c>
      <c r="M23" s="32" t="n">
        <f aca="false">SUMPRODUCT(Hitung_Unit!$K$5:$K$104,Hitung_Unit!$S$5:$S$104,Hitung_Unit!$H$5:$H$104)</f>
        <v>0</v>
      </c>
      <c r="N23" s="32" t="n">
        <f aca="false">SUMPRODUCT(Hitung_Unit!$K$5:$K$104,Hitung_Unit!$T$5:$T$104,Hitung_Unit!$H$5:$H$104)</f>
        <v>0</v>
      </c>
      <c r="O23" s="32" t="n">
        <f aca="false">SUMPRODUCT(Hitung_Unit!$K$5:$K$104,Hitung_Unit!$U$5:$U$104,Hitung_Unit!$H$5:$H$104)</f>
        <v>0</v>
      </c>
      <c r="P23" s="32" t="n">
        <f aca="false">SUMPRODUCT(Hitung_Unit!$K$5:$K$104,Hitung_Unit!$V$5:$V$104,Hitung_Unit!$H$5:$H$104)</f>
        <v>0</v>
      </c>
      <c r="Q23" s="32" t="n">
        <f aca="false">SUMPRODUCT(Hitung_Unit!$K$5:$K$104,Hitung_Unit!$W$5:$W$104,Hitung_Unit!$H$5:$H$104)</f>
        <v>0</v>
      </c>
      <c r="R23" s="32" t="n">
        <f aca="false">SUMPRODUCT(Hitung_Unit!$K$5:$K$104,Hitung_Unit!$X$5:$X$104,Hitung_Unit!$H$5:$H$104)</f>
        <v>0</v>
      </c>
      <c r="S23" s="32" t="n">
        <f aca="false">SUMPRODUCT(Hitung_Unit!$K$5:$K$104,Hitung_Unit!$Y$5:$Y$104,Hitung_Unit!$H$5:$H$104)</f>
        <v>0</v>
      </c>
      <c r="T23" s="32" t="n">
        <f aca="false">SUMPRODUCT(Hitung_Unit!$K$5:$K$104,Hitung_Unit!$Z$5:$Z$104,Hitung_Unit!$H$5:$H$104)</f>
        <v>0</v>
      </c>
      <c r="U23" s="32" t="n">
        <f aca="false">SUMPRODUCT(Hitung_Unit!$K$5:$K$104,Hitung_Unit!$AA$5:$AA$104,Hitung_Unit!$H$5:$H$104)</f>
        <v>0</v>
      </c>
      <c r="V23" s="32" t="n">
        <f aca="false">SUMPRODUCT(Hitung_Unit!$K$5:$K$104,Hitung_Unit!$AB$5:$AB$104,Hitung_Unit!$H$5:$H$104)</f>
        <v>0</v>
      </c>
      <c r="W23" s="33" t="n">
        <f aca="false">SUM(C23:V23)</f>
        <v>6</v>
      </c>
    </row>
    <row r="24" customFormat="false" ht="15" hidden="false" customHeight="false" outlineLevel="0" collapsed="false">
      <c r="A24" s="15" t="n">
        <v>4</v>
      </c>
      <c r="B24" s="15" t="str">
        <f aca="false">IF(Input!$H$13="","",Input!$H$13)</f>
        <v>K4</v>
      </c>
      <c r="C24" s="32" t="n">
        <f aca="false">SUMPRODUCT(Hitung_Unit!$L$5:$L$104,Hitung_Unit!$I$5:$I$104,Hitung_Unit!$H$5:$H$104)</f>
        <v>0</v>
      </c>
      <c r="D24" s="32" t="n">
        <f aca="false">SUMPRODUCT(Hitung_Unit!$L$5:$L$104,Hitung_Unit!$J$5:$J$104,Hitung_Unit!$H$5:$H$104)</f>
        <v>0</v>
      </c>
      <c r="E24" s="32" t="n">
        <f aca="false">SUMPRODUCT(Hitung_Unit!$L$5:$L$104,Hitung_Unit!$K$5:$K$104,Hitung_Unit!$H$5:$H$104)</f>
        <v>0</v>
      </c>
      <c r="F24" s="32" t="n">
        <f aca="false">SUMPRODUCT(Hitung_Unit!$L$5:$L$104,Hitung_Unit!$L$5:$L$104-1,Hitung_Unit!$H$5:$H$104)</f>
        <v>6</v>
      </c>
      <c r="G24" s="32" t="n">
        <f aca="false">SUMPRODUCT(Hitung_Unit!$L$5:$L$104,Hitung_Unit!$M$5:$M$104,Hitung_Unit!$H$5:$H$104)</f>
        <v>0</v>
      </c>
      <c r="H24" s="32" t="n">
        <f aca="false">SUMPRODUCT(Hitung_Unit!$L$5:$L$104,Hitung_Unit!$N$5:$N$104,Hitung_Unit!$H$5:$H$104)</f>
        <v>0</v>
      </c>
      <c r="I24" s="32" t="n">
        <f aca="false">SUMPRODUCT(Hitung_Unit!$L$5:$L$104,Hitung_Unit!$O$5:$O$104,Hitung_Unit!$H$5:$H$104)</f>
        <v>0</v>
      </c>
      <c r="J24" s="32" t="n">
        <f aca="false">SUMPRODUCT(Hitung_Unit!$L$5:$L$104,Hitung_Unit!$P$5:$P$104,Hitung_Unit!$H$5:$H$104)</f>
        <v>0</v>
      </c>
      <c r="K24" s="32" t="n">
        <f aca="false">SUMPRODUCT(Hitung_Unit!$L$5:$L$104,Hitung_Unit!$Q$5:$Q$104,Hitung_Unit!$H$5:$H$104)</f>
        <v>0</v>
      </c>
      <c r="L24" s="32" t="n">
        <f aca="false">SUMPRODUCT(Hitung_Unit!$L$5:$L$104,Hitung_Unit!$R$5:$R$104,Hitung_Unit!$H$5:$H$104)</f>
        <v>0</v>
      </c>
      <c r="M24" s="32" t="n">
        <f aca="false">SUMPRODUCT(Hitung_Unit!$L$5:$L$104,Hitung_Unit!$S$5:$S$104,Hitung_Unit!$H$5:$H$104)</f>
        <v>0</v>
      </c>
      <c r="N24" s="32" t="n">
        <f aca="false">SUMPRODUCT(Hitung_Unit!$L$5:$L$104,Hitung_Unit!$T$5:$T$104,Hitung_Unit!$H$5:$H$104)</f>
        <v>0</v>
      </c>
      <c r="O24" s="32" t="n">
        <f aca="false">SUMPRODUCT(Hitung_Unit!$L$5:$L$104,Hitung_Unit!$U$5:$U$104,Hitung_Unit!$H$5:$H$104)</f>
        <v>0</v>
      </c>
      <c r="P24" s="32" t="n">
        <f aca="false">SUMPRODUCT(Hitung_Unit!$L$5:$L$104,Hitung_Unit!$V$5:$V$104,Hitung_Unit!$H$5:$H$104)</f>
        <v>0</v>
      </c>
      <c r="Q24" s="32" t="n">
        <f aca="false">SUMPRODUCT(Hitung_Unit!$L$5:$L$104,Hitung_Unit!$W$5:$W$104,Hitung_Unit!$H$5:$H$104)</f>
        <v>0</v>
      </c>
      <c r="R24" s="32" t="n">
        <f aca="false">SUMPRODUCT(Hitung_Unit!$L$5:$L$104,Hitung_Unit!$X$5:$X$104,Hitung_Unit!$H$5:$H$104)</f>
        <v>0</v>
      </c>
      <c r="S24" s="32" t="n">
        <f aca="false">SUMPRODUCT(Hitung_Unit!$L$5:$L$104,Hitung_Unit!$Y$5:$Y$104,Hitung_Unit!$H$5:$H$104)</f>
        <v>0</v>
      </c>
      <c r="T24" s="32" t="n">
        <f aca="false">SUMPRODUCT(Hitung_Unit!$L$5:$L$104,Hitung_Unit!$Z$5:$Z$104,Hitung_Unit!$H$5:$H$104)</f>
        <v>0</v>
      </c>
      <c r="U24" s="32" t="n">
        <f aca="false">SUMPRODUCT(Hitung_Unit!$L$5:$L$104,Hitung_Unit!$AA$5:$AA$104,Hitung_Unit!$H$5:$H$104)</f>
        <v>0</v>
      </c>
      <c r="V24" s="32" t="n">
        <f aca="false">SUMPRODUCT(Hitung_Unit!$L$5:$L$104,Hitung_Unit!$AB$5:$AB$104,Hitung_Unit!$H$5:$H$104)</f>
        <v>0</v>
      </c>
      <c r="W24" s="33" t="n">
        <f aca="false">SUM(C24:V24)</f>
        <v>6</v>
      </c>
    </row>
    <row r="25" customFormat="false" ht="15" hidden="false" customHeight="false" outlineLevel="0" collapsed="false">
      <c r="A25" s="15" t="n">
        <v>5</v>
      </c>
      <c r="B25" s="15" t="str">
        <f aca="false">IF(Input!$H$14="","",Input!$H$14)</f>
        <v>K5</v>
      </c>
      <c r="C25" s="32" t="n">
        <f aca="false">SUMPRODUCT(Hitung_Unit!$M$5:$M$104,Hitung_Unit!$I$5:$I$104,Hitung_Unit!$H$5:$H$104)</f>
        <v>0</v>
      </c>
      <c r="D25" s="32" t="n">
        <f aca="false">SUMPRODUCT(Hitung_Unit!$M$5:$M$104,Hitung_Unit!$J$5:$J$104,Hitung_Unit!$H$5:$H$104)</f>
        <v>0</v>
      </c>
      <c r="E25" s="32" t="n">
        <f aca="false">SUMPRODUCT(Hitung_Unit!$M$5:$M$104,Hitung_Unit!$K$5:$K$104,Hitung_Unit!$H$5:$H$104)</f>
        <v>0</v>
      </c>
      <c r="F25" s="32" t="n">
        <f aca="false">SUMPRODUCT(Hitung_Unit!$M$5:$M$104,Hitung_Unit!$L$5:$L$104,Hitung_Unit!$H$5:$H$104)</f>
        <v>0</v>
      </c>
      <c r="G25" s="32" t="n">
        <f aca="false">SUMPRODUCT(Hitung_Unit!$M$5:$M$104,Hitung_Unit!$M$5:$M$104-1,Hitung_Unit!$H$5:$H$104)</f>
        <v>6</v>
      </c>
      <c r="H25" s="32" t="n">
        <f aca="false">SUMPRODUCT(Hitung_Unit!$M$5:$M$104,Hitung_Unit!$N$5:$N$104,Hitung_Unit!$H$5:$H$104)</f>
        <v>0</v>
      </c>
      <c r="I25" s="32" t="n">
        <f aca="false">SUMPRODUCT(Hitung_Unit!$M$5:$M$104,Hitung_Unit!$O$5:$O$104,Hitung_Unit!$H$5:$H$104)</f>
        <v>0</v>
      </c>
      <c r="J25" s="32" t="n">
        <f aca="false">SUMPRODUCT(Hitung_Unit!$M$5:$M$104,Hitung_Unit!$P$5:$P$104,Hitung_Unit!$H$5:$H$104)</f>
        <v>0</v>
      </c>
      <c r="K25" s="32" t="n">
        <f aca="false">SUMPRODUCT(Hitung_Unit!$M$5:$M$104,Hitung_Unit!$Q$5:$Q$104,Hitung_Unit!$H$5:$H$104)</f>
        <v>0</v>
      </c>
      <c r="L25" s="32" t="n">
        <f aca="false">SUMPRODUCT(Hitung_Unit!$M$5:$M$104,Hitung_Unit!$R$5:$R$104,Hitung_Unit!$H$5:$H$104)</f>
        <v>0</v>
      </c>
      <c r="M25" s="32" t="n">
        <f aca="false">SUMPRODUCT(Hitung_Unit!$M$5:$M$104,Hitung_Unit!$S$5:$S$104,Hitung_Unit!$H$5:$H$104)</f>
        <v>0</v>
      </c>
      <c r="N25" s="32" t="n">
        <f aca="false">SUMPRODUCT(Hitung_Unit!$M$5:$M$104,Hitung_Unit!$T$5:$T$104,Hitung_Unit!$H$5:$H$104)</f>
        <v>0</v>
      </c>
      <c r="O25" s="32" t="n">
        <f aca="false">SUMPRODUCT(Hitung_Unit!$M$5:$M$104,Hitung_Unit!$U$5:$U$104,Hitung_Unit!$H$5:$H$104)</f>
        <v>0</v>
      </c>
      <c r="P25" s="32" t="n">
        <f aca="false">SUMPRODUCT(Hitung_Unit!$M$5:$M$104,Hitung_Unit!$V$5:$V$104,Hitung_Unit!$H$5:$H$104)</f>
        <v>0</v>
      </c>
      <c r="Q25" s="32" t="n">
        <f aca="false">SUMPRODUCT(Hitung_Unit!$M$5:$M$104,Hitung_Unit!$W$5:$W$104,Hitung_Unit!$H$5:$H$104)</f>
        <v>0</v>
      </c>
      <c r="R25" s="32" t="n">
        <f aca="false">SUMPRODUCT(Hitung_Unit!$M$5:$M$104,Hitung_Unit!$X$5:$X$104,Hitung_Unit!$H$5:$H$104)</f>
        <v>0</v>
      </c>
      <c r="S25" s="32" t="n">
        <f aca="false">SUMPRODUCT(Hitung_Unit!$M$5:$M$104,Hitung_Unit!$Y$5:$Y$104,Hitung_Unit!$H$5:$H$104)</f>
        <v>0</v>
      </c>
      <c r="T25" s="32" t="n">
        <f aca="false">SUMPRODUCT(Hitung_Unit!$M$5:$M$104,Hitung_Unit!$Z$5:$Z$104,Hitung_Unit!$H$5:$H$104)</f>
        <v>0</v>
      </c>
      <c r="U25" s="32" t="n">
        <f aca="false">SUMPRODUCT(Hitung_Unit!$M$5:$M$104,Hitung_Unit!$AA$5:$AA$104,Hitung_Unit!$H$5:$H$104)</f>
        <v>0</v>
      </c>
      <c r="V25" s="32" t="n">
        <f aca="false">SUMPRODUCT(Hitung_Unit!$M$5:$M$104,Hitung_Unit!$AB$5:$AB$104,Hitung_Unit!$H$5:$H$104)</f>
        <v>0</v>
      </c>
      <c r="W25" s="33" t="n">
        <f aca="false">SUM(C25:V25)</f>
        <v>6</v>
      </c>
    </row>
    <row r="26" customFormat="false" ht="15" hidden="false" customHeight="false" outlineLevel="0" collapsed="false">
      <c r="A26" s="15" t="n">
        <v>6</v>
      </c>
      <c r="B26" s="15" t="str">
        <f aca="false">IF(Input!$H$15="","",Input!$H$15)</f>
        <v/>
      </c>
      <c r="C26" s="32" t="n">
        <f aca="false">SUMPRODUCT(Hitung_Unit!$N$5:$N$104,Hitung_Unit!$I$5:$I$104,Hitung_Unit!$H$5:$H$104)</f>
        <v>0</v>
      </c>
      <c r="D26" s="32" t="n">
        <f aca="false">SUMPRODUCT(Hitung_Unit!$N$5:$N$104,Hitung_Unit!$J$5:$J$104,Hitung_Unit!$H$5:$H$104)</f>
        <v>0</v>
      </c>
      <c r="E26" s="32" t="n">
        <f aca="false">SUMPRODUCT(Hitung_Unit!$N$5:$N$104,Hitung_Unit!$K$5:$K$104,Hitung_Unit!$H$5:$H$104)</f>
        <v>0</v>
      </c>
      <c r="F26" s="32" t="n">
        <f aca="false">SUMPRODUCT(Hitung_Unit!$N$5:$N$104,Hitung_Unit!$L$5:$L$104,Hitung_Unit!$H$5:$H$104)</f>
        <v>0</v>
      </c>
      <c r="G26" s="32" t="n">
        <f aca="false">SUMPRODUCT(Hitung_Unit!$N$5:$N$104,Hitung_Unit!$M$5:$M$104,Hitung_Unit!$H$5:$H$104)</f>
        <v>0</v>
      </c>
      <c r="H26" s="32" t="n">
        <f aca="false">SUMPRODUCT(Hitung_Unit!$N$5:$N$104,Hitung_Unit!$N$5:$N$104-1,Hitung_Unit!$H$5:$H$104)</f>
        <v>0</v>
      </c>
      <c r="I26" s="32" t="n">
        <f aca="false">SUMPRODUCT(Hitung_Unit!$N$5:$N$104,Hitung_Unit!$O$5:$O$104,Hitung_Unit!$H$5:$H$104)</f>
        <v>0</v>
      </c>
      <c r="J26" s="32" t="n">
        <f aca="false">SUMPRODUCT(Hitung_Unit!$N$5:$N$104,Hitung_Unit!$P$5:$P$104,Hitung_Unit!$H$5:$H$104)</f>
        <v>0</v>
      </c>
      <c r="K26" s="32" t="n">
        <f aca="false">SUMPRODUCT(Hitung_Unit!$N$5:$N$104,Hitung_Unit!$Q$5:$Q$104,Hitung_Unit!$H$5:$H$104)</f>
        <v>0</v>
      </c>
      <c r="L26" s="32" t="n">
        <f aca="false">SUMPRODUCT(Hitung_Unit!$N$5:$N$104,Hitung_Unit!$R$5:$R$104,Hitung_Unit!$H$5:$H$104)</f>
        <v>0</v>
      </c>
      <c r="M26" s="32" t="n">
        <f aca="false">SUMPRODUCT(Hitung_Unit!$N$5:$N$104,Hitung_Unit!$S$5:$S$104,Hitung_Unit!$H$5:$H$104)</f>
        <v>0</v>
      </c>
      <c r="N26" s="32" t="n">
        <f aca="false">SUMPRODUCT(Hitung_Unit!$N$5:$N$104,Hitung_Unit!$T$5:$T$104,Hitung_Unit!$H$5:$H$104)</f>
        <v>0</v>
      </c>
      <c r="O26" s="32" t="n">
        <f aca="false">SUMPRODUCT(Hitung_Unit!$N$5:$N$104,Hitung_Unit!$U$5:$U$104,Hitung_Unit!$H$5:$H$104)</f>
        <v>0</v>
      </c>
      <c r="P26" s="32" t="n">
        <f aca="false">SUMPRODUCT(Hitung_Unit!$N$5:$N$104,Hitung_Unit!$V$5:$V$104,Hitung_Unit!$H$5:$H$104)</f>
        <v>0</v>
      </c>
      <c r="Q26" s="32" t="n">
        <f aca="false">SUMPRODUCT(Hitung_Unit!$N$5:$N$104,Hitung_Unit!$W$5:$W$104,Hitung_Unit!$H$5:$H$104)</f>
        <v>0</v>
      </c>
      <c r="R26" s="32" t="n">
        <f aca="false">SUMPRODUCT(Hitung_Unit!$N$5:$N$104,Hitung_Unit!$X$5:$X$104,Hitung_Unit!$H$5:$H$104)</f>
        <v>0</v>
      </c>
      <c r="S26" s="32" t="n">
        <f aca="false">SUMPRODUCT(Hitung_Unit!$N$5:$N$104,Hitung_Unit!$Y$5:$Y$104,Hitung_Unit!$H$5:$H$104)</f>
        <v>0</v>
      </c>
      <c r="T26" s="32" t="n">
        <f aca="false">SUMPRODUCT(Hitung_Unit!$N$5:$N$104,Hitung_Unit!$Z$5:$Z$104,Hitung_Unit!$H$5:$H$104)</f>
        <v>0</v>
      </c>
      <c r="U26" s="32" t="n">
        <f aca="false">SUMPRODUCT(Hitung_Unit!$N$5:$N$104,Hitung_Unit!$AA$5:$AA$104,Hitung_Unit!$H$5:$H$104)</f>
        <v>0</v>
      </c>
      <c r="V26" s="32" t="n">
        <f aca="false">SUMPRODUCT(Hitung_Unit!$N$5:$N$104,Hitung_Unit!$AB$5:$AB$104,Hitung_Unit!$H$5:$H$104)</f>
        <v>0</v>
      </c>
      <c r="W26" s="33" t="n">
        <f aca="false">SUM(C26:V26)</f>
        <v>0</v>
      </c>
    </row>
    <row r="27" customFormat="false" ht="15" hidden="false" customHeight="false" outlineLevel="0" collapsed="false">
      <c r="A27" s="15" t="n">
        <v>7</v>
      </c>
      <c r="B27" s="15" t="str">
        <f aca="false">IF(Input!$H$16="","",Input!$H$16)</f>
        <v/>
      </c>
      <c r="C27" s="32" t="n">
        <f aca="false">SUMPRODUCT(Hitung_Unit!$O$5:$O$104,Hitung_Unit!$I$5:$I$104,Hitung_Unit!$H$5:$H$104)</f>
        <v>0</v>
      </c>
      <c r="D27" s="32" t="n">
        <f aca="false">SUMPRODUCT(Hitung_Unit!$O$5:$O$104,Hitung_Unit!$J$5:$J$104,Hitung_Unit!$H$5:$H$104)</f>
        <v>0</v>
      </c>
      <c r="E27" s="32" t="n">
        <f aca="false">SUMPRODUCT(Hitung_Unit!$O$5:$O$104,Hitung_Unit!$K$5:$K$104,Hitung_Unit!$H$5:$H$104)</f>
        <v>0</v>
      </c>
      <c r="F27" s="32" t="n">
        <f aca="false">SUMPRODUCT(Hitung_Unit!$O$5:$O$104,Hitung_Unit!$L$5:$L$104,Hitung_Unit!$H$5:$H$104)</f>
        <v>0</v>
      </c>
      <c r="G27" s="32" t="n">
        <f aca="false">SUMPRODUCT(Hitung_Unit!$O$5:$O$104,Hitung_Unit!$M$5:$M$104,Hitung_Unit!$H$5:$H$104)</f>
        <v>0</v>
      </c>
      <c r="H27" s="32" t="n">
        <f aca="false">SUMPRODUCT(Hitung_Unit!$O$5:$O$104,Hitung_Unit!$N$5:$N$104,Hitung_Unit!$H$5:$H$104)</f>
        <v>0</v>
      </c>
      <c r="I27" s="32" t="n">
        <f aca="false">SUMPRODUCT(Hitung_Unit!$O$5:$O$104,Hitung_Unit!$O$5:$O$104-1,Hitung_Unit!$H$5:$H$104)</f>
        <v>0</v>
      </c>
      <c r="J27" s="32" t="n">
        <f aca="false">SUMPRODUCT(Hitung_Unit!$O$5:$O$104,Hitung_Unit!$P$5:$P$104,Hitung_Unit!$H$5:$H$104)</f>
        <v>0</v>
      </c>
      <c r="K27" s="32" t="n">
        <f aca="false">SUMPRODUCT(Hitung_Unit!$O$5:$O$104,Hitung_Unit!$Q$5:$Q$104,Hitung_Unit!$H$5:$H$104)</f>
        <v>0</v>
      </c>
      <c r="L27" s="32" t="n">
        <f aca="false">SUMPRODUCT(Hitung_Unit!$O$5:$O$104,Hitung_Unit!$R$5:$R$104,Hitung_Unit!$H$5:$H$104)</f>
        <v>0</v>
      </c>
      <c r="M27" s="32" t="n">
        <f aca="false">SUMPRODUCT(Hitung_Unit!$O$5:$O$104,Hitung_Unit!$S$5:$S$104,Hitung_Unit!$H$5:$H$104)</f>
        <v>0</v>
      </c>
      <c r="N27" s="32" t="n">
        <f aca="false">SUMPRODUCT(Hitung_Unit!$O$5:$O$104,Hitung_Unit!$T$5:$T$104,Hitung_Unit!$H$5:$H$104)</f>
        <v>0</v>
      </c>
      <c r="O27" s="32" t="n">
        <f aca="false">SUMPRODUCT(Hitung_Unit!$O$5:$O$104,Hitung_Unit!$U$5:$U$104,Hitung_Unit!$H$5:$H$104)</f>
        <v>0</v>
      </c>
      <c r="P27" s="32" t="n">
        <f aca="false">SUMPRODUCT(Hitung_Unit!$O$5:$O$104,Hitung_Unit!$V$5:$V$104,Hitung_Unit!$H$5:$H$104)</f>
        <v>0</v>
      </c>
      <c r="Q27" s="32" t="n">
        <f aca="false">SUMPRODUCT(Hitung_Unit!$O$5:$O$104,Hitung_Unit!$W$5:$W$104,Hitung_Unit!$H$5:$H$104)</f>
        <v>0</v>
      </c>
      <c r="R27" s="32" t="n">
        <f aca="false">SUMPRODUCT(Hitung_Unit!$O$5:$O$104,Hitung_Unit!$X$5:$X$104,Hitung_Unit!$H$5:$H$104)</f>
        <v>0</v>
      </c>
      <c r="S27" s="32" t="n">
        <f aca="false">SUMPRODUCT(Hitung_Unit!$O$5:$O$104,Hitung_Unit!$Y$5:$Y$104,Hitung_Unit!$H$5:$H$104)</f>
        <v>0</v>
      </c>
      <c r="T27" s="32" t="n">
        <f aca="false">SUMPRODUCT(Hitung_Unit!$O$5:$O$104,Hitung_Unit!$Z$5:$Z$104,Hitung_Unit!$H$5:$H$104)</f>
        <v>0</v>
      </c>
      <c r="U27" s="32" t="n">
        <f aca="false">SUMPRODUCT(Hitung_Unit!$O$5:$O$104,Hitung_Unit!$AA$5:$AA$104,Hitung_Unit!$H$5:$H$104)</f>
        <v>0</v>
      </c>
      <c r="V27" s="32" t="n">
        <f aca="false">SUMPRODUCT(Hitung_Unit!$O$5:$O$104,Hitung_Unit!$AB$5:$AB$104,Hitung_Unit!$H$5:$H$104)</f>
        <v>0</v>
      </c>
      <c r="W27" s="33" t="n">
        <f aca="false">SUM(C27:V27)</f>
        <v>0</v>
      </c>
    </row>
    <row r="28" customFormat="false" ht="15" hidden="false" customHeight="false" outlineLevel="0" collapsed="false">
      <c r="A28" s="15" t="n">
        <v>8</v>
      </c>
      <c r="B28" s="15" t="str">
        <f aca="false">IF(Input!$H$17="","",Input!$H$17)</f>
        <v/>
      </c>
      <c r="C28" s="32" t="n">
        <f aca="false">SUMPRODUCT(Hitung_Unit!$P$5:$P$104,Hitung_Unit!$I$5:$I$104,Hitung_Unit!$H$5:$H$104)</f>
        <v>0</v>
      </c>
      <c r="D28" s="32" t="n">
        <f aca="false">SUMPRODUCT(Hitung_Unit!$P$5:$P$104,Hitung_Unit!$J$5:$J$104,Hitung_Unit!$H$5:$H$104)</f>
        <v>0</v>
      </c>
      <c r="E28" s="32" t="n">
        <f aca="false">SUMPRODUCT(Hitung_Unit!$P$5:$P$104,Hitung_Unit!$K$5:$K$104,Hitung_Unit!$H$5:$H$104)</f>
        <v>0</v>
      </c>
      <c r="F28" s="32" t="n">
        <f aca="false">SUMPRODUCT(Hitung_Unit!$P$5:$P$104,Hitung_Unit!$L$5:$L$104,Hitung_Unit!$H$5:$H$104)</f>
        <v>0</v>
      </c>
      <c r="G28" s="32" t="n">
        <f aca="false">SUMPRODUCT(Hitung_Unit!$P$5:$P$104,Hitung_Unit!$M$5:$M$104,Hitung_Unit!$H$5:$H$104)</f>
        <v>0</v>
      </c>
      <c r="H28" s="32" t="n">
        <f aca="false">SUMPRODUCT(Hitung_Unit!$P$5:$P$104,Hitung_Unit!$N$5:$N$104,Hitung_Unit!$H$5:$H$104)</f>
        <v>0</v>
      </c>
      <c r="I28" s="32" t="n">
        <f aca="false">SUMPRODUCT(Hitung_Unit!$P$5:$P$104,Hitung_Unit!$O$5:$O$104,Hitung_Unit!$H$5:$H$104)</f>
        <v>0</v>
      </c>
      <c r="J28" s="32" t="n">
        <f aca="false">SUMPRODUCT(Hitung_Unit!$P$5:$P$104,Hitung_Unit!$P$5:$P$104-1,Hitung_Unit!$H$5:$H$104)</f>
        <v>0</v>
      </c>
      <c r="K28" s="32" t="n">
        <f aca="false">SUMPRODUCT(Hitung_Unit!$P$5:$P$104,Hitung_Unit!$Q$5:$Q$104,Hitung_Unit!$H$5:$H$104)</f>
        <v>0</v>
      </c>
      <c r="L28" s="32" t="n">
        <f aca="false">SUMPRODUCT(Hitung_Unit!$P$5:$P$104,Hitung_Unit!$R$5:$R$104,Hitung_Unit!$H$5:$H$104)</f>
        <v>0</v>
      </c>
      <c r="M28" s="32" t="n">
        <f aca="false">SUMPRODUCT(Hitung_Unit!$P$5:$P$104,Hitung_Unit!$S$5:$S$104,Hitung_Unit!$H$5:$H$104)</f>
        <v>0</v>
      </c>
      <c r="N28" s="32" t="n">
        <f aca="false">SUMPRODUCT(Hitung_Unit!$P$5:$P$104,Hitung_Unit!$T$5:$T$104,Hitung_Unit!$H$5:$H$104)</f>
        <v>0</v>
      </c>
      <c r="O28" s="32" t="n">
        <f aca="false">SUMPRODUCT(Hitung_Unit!$P$5:$P$104,Hitung_Unit!$U$5:$U$104,Hitung_Unit!$H$5:$H$104)</f>
        <v>0</v>
      </c>
      <c r="P28" s="32" t="n">
        <f aca="false">SUMPRODUCT(Hitung_Unit!$P$5:$P$104,Hitung_Unit!$V$5:$V$104,Hitung_Unit!$H$5:$H$104)</f>
        <v>0</v>
      </c>
      <c r="Q28" s="32" t="n">
        <f aca="false">SUMPRODUCT(Hitung_Unit!$P$5:$P$104,Hitung_Unit!$W$5:$W$104,Hitung_Unit!$H$5:$H$104)</f>
        <v>0</v>
      </c>
      <c r="R28" s="32" t="n">
        <f aca="false">SUMPRODUCT(Hitung_Unit!$P$5:$P$104,Hitung_Unit!$X$5:$X$104,Hitung_Unit!$H$5:$H$104)</f>
        <v>0</v>
      </c>
      <c r="S28" s="32" t="n">
        <f aca="false">SUMPRODUCT(Hitung_Unit!$P$5:$P$104,Hitung_Unit!$Y$5:$Y$104,Hitung_Unit!$H$5:$H$104)</f>
        <v>0</v>
      </c>
      <c r="T28" s="32" t="n">
        <f aca="false">SUMPRODUCT(Hitung_Unit!$P$5:$P$104,Hitung_Unit!$Z$5:$Z$104,Hitung_Unit!$H$5:$H$104)</f>
        <v>0</v>
      </c>
      <c r="U28" s="32" t="n">
        <f aca="false">SUMPRODUCT(Hitung_Unit!$P$5:$P$104,Hitung_Unit!$AA$5:$AA$104,Hitung_Unit!$H$5:$H$104)</f>
        <v>0</v>
      </c>
      <c r="V28" s="32" t="n">
        <f aca="false">SUMPRODUCT(Hitung_Unit!$P$5:$P$104,Hitung_Unit!$AB$5:$AB$104,Hitung_Unit!$H$5:$H$104)</f>
        <v>0</v>
      </c>
      <c r="W28" s="33" t="n">
        <f aca="false">SUM(C28:V28)</f>
        <v>0</v>
      </c>
    </row>
    <row r="29" customFormat="false" ht="15" hidden="false" customHeight="false" outlineLevel="0" collapsed="false">
      <c r="A29" s="15" t="n">
        <v>9</v>
      </c>
      <c r="B29" s="15" t="str">
        <f aca="false">IF(Input!$H$18="","",Input!$H$18)</f>
        <v/>
      </c>
      <c r="C29" s="32" t="n">
        <f aca="false">SUMPRODUCT(Hitung_Unit!$Q$5:$Q$104,Hitung_Unit!$I$5:$I$104,Hitung_Unit!$H$5:$H$104)</f>
        <v>0</v>
      </c>
      <c r="D29" s="32" t="n">
        <f aca="false">SUMPRODUCT(Hitung_Unit!$Q$5:$Q$104,Hitung_Unit!$J$5:$J$104,Hitung_Unit!$H$5:$H$104)</f>
        <v>0</v>
      </c>
      <c r="E29" s="32" t="n">
        <f aca="false">SUMPRODUCT(Hitung_Unit!$Q$5:$Q$104,Hitung_Unit!$K$5:$K$104,Hitung_Unit!$H$5:$H$104)</f>
        <v>0</v>
      </c>
      <c r="F29" s="32" t="n">
        <f aca="false">SUMPRODUCT(Hitung_Unit!$Q$5:$Q$104,Hitung_Unit!$L$5:$L$104,Hitung_Unit!$H$5:$H$104)</f>
        <v>0</v>
      </c>
      <c r="G29" s="32" t="n">
        <f aca="false">SUMPRODUCT(Hitung_Unit!$Q$5:$Q$104,Hitung_Unit!$M$5:$M$104,Hitung_Unit!$H$5:$H$104)</f>
        <v>0</v>
      </c>
      <c r="H29" s="32" t="n">
        <f aca="false">SUMPRODUCT(Hitung_Unit!$Q$5:$Q$104,Hitung_Unit!$N$5:$N$104,Hitung_Unit!$H$5:$H$104)</f>
        <v>0</v>
      </c>
      <c r="I29" s="32" t="n">
        <f aca="false">SUMPRODUCT(Hitung_Unit!$Q$5:$Q$104,Hitung_Unit!$O$5:$O$104,Hitung_Unit!$H$5:$H$104)</f>
        <v>0</v>
      </c>
      <c r="J29" s="32" t="n">
        <f aca="false">SUMPRODUCT(Hitung_Unit!$Q$5:$Q$104,Hitung_Unit!$P$5:$P$104,Hitung_Unit!$H$5:$H$104)</f>
        <v>0</v>
      </c>
      <c r="K29" s="32" t="n">
        <f aca="false">SUMPRODUCT(Hitung_Unit!$Q$5:$Q$104,Hitung_Unit!$Q$5:$Q$104-1,Hitung_Unit!$H$5:$H$104)</f>
        <v>0</v>
      </c>
      <c r="L29" s="32" t="n">
        <f aca="false">SUMPRODUCT(Hitung_Unit!$Q$5:$Q$104,Hitung_Unit!$R$5:$R$104,Hitung_Unit!$H$5:$H$104)</f>
        <v>0</v>
      </c>
      <c r="M29" s="32" t="n">
        <f aca="false">SUMPRODUCT(Hitung_Unit!$Q$5:$Q$104,Hitung_Unit!$S$5:$S$104,Hitung_Unit!$H$5:$H$104)</f>
        <v>0</v>
      </c>
      <c r="N29" s="32" t="n">
        <f aca="false">SUMPRODUCT(Hitung_Unit!$Q$5:$Q$104,Hitung_Unit!$T$5:$T$104,Hitung_Unit!$H$5:$H$104)</f>
        <v>0</v>
      </c>
      <c r="O29" s="32" t="n">
        <f aca="false">SUMPRODUCT(Hitung_Unit!$Q$5:$Q$104,Hitung_Unit!$U$5:$U$104,Hitung_Unit!$H$5:$H$104)</f>
        <v>0</v>
      </c>
      <c r="P29" s="32" t="n">
        <f aca="false">SUMPRODUCT(Hitung_Unit!$Q$5:$Q$104,Hitung_Unit!$V$5:$V$104,Hitung_Unit!$H$5:$H$104)</f>
        <v>0</v>
      </c>
      <c r="Q29" s="32" t="n">
        <f aca="false">SUMPRODUCT(Hitung_Unit!$Q$5:$Q$104,Hitung_Unit!$W$5:$W$104,Hitung_Unit!$H$5:$H$104)</f>
        <v>0</v>
      </c>
      <c r="R29" s="32" t="n">
        <f aca="false">SUMPRODUCT(Hitung_Unit!$Q$5:$Q$104,Hitung_Unit!$X$5:$X$104,Hitung_Unit!$H$5:$H$104)</f>
        <v>0</v>
      </c>
      <c r="S29" s="32" t="n">
        <f aca="false">SUMPRODUCT(Hitung_Unit!$Q$5:$Q$104,Hitung_Unit!$Y$5:$Y$104,Hitung_Unit!$H$5:$H$104)</f>
        <v>0</v>
      </c>
      <c r="T29" s="32" t="n">
        <f aca="false">SUMPRODUCT(Hitung_Unit!$Q$5:$Q$104,Hitung_Unit!$Z$5:$Z$104,Hitung_Unit!$H$5:$H$104)</f>
        <v>0</v>
      </c>
      <c r="U29" s="32" t="n">
        <f aca="false">SUMPRODUCT(Hitung_Unit!$Q$5:$Q$104,Hitung_Unit!$AA$5:$AA$104,Hitung_Unit!$H$5:$H$104)</f>
        <v>0</v>
      </c>
      <c r="V29" s="32" t="n">
        <f aca="false">SUMPRODUCT(Hitung_Unit!$Q$5:$Q$104,Hitung_Unit!$AB$5:$AB$104,Hitung_Unit!$H$5:$H$104)</f>
        <v>0</v>
      </c>
      <c r="W29" s="33" t="n">
        <f aca="false">SUM(C29:V29)</f>
        <v>0</v>
      </c>
    </row>
    <row r="30" customFormat="false" ht="15" hidden="false" customHeight="false" outlineLevel="0" collapsed="false">
      <c r="A30" s="15" t="n">
        <v>10</v>
      </c>
      <c r="B30" s="15" t="str">
        <f aca="false">IF(Input!$H$19="","",Input!$H$19)</f>
        <v/>
      </c>
      <c r="C30" s="32" t="n">
        <f aca="false">SUMPRODUCT(Hitung_Unit!$R$5:$R$104,Hitung_Unit!$I$5:$I$104,Hitung_Unit!$H$5:$H$104)</f>
        <v>0</v>
      </c>
      <c r="D30" s="32" t="n">
        <f aca="false">SUMPRODUCT(Hitung_Unit!$R$5:$R$104,Hitung_Unit!$J$5:$J$104,Hitung_Unit!$H$5:$H$104)</f>
        <v>0</v>
      </c>
      <c r="E30" s="32" t="n">
        <f aca="false">SUMPRODUCT(Hitung_Unit!$R$5:$R$104,Hitung_Unit!$K$5:$K$104,Hitung_Unit!$H$5:$H$104)</f>
        <v>0</v>
      </c>
      <c r="F30" s="32" t="n">
        <f aca="false">SUMPRODUCT(Hitung_Unit!$R$5:$R$104,Hitung_Unit!$L$5:$L$104,Hitung_Unit!$H$5:$H$104)</f>
        <v>0</v>
      </c>
      <c r="G30" s="32" t="n">
        <f aca="false">SUMPRODUCT(Hitung_Unit!$R$5:$R$104,Hitung_Unit!$M$5:$M$104,Hitung_Unit!$H$5:$H$104)</f>
        <v>0</v>
      </c>
      <c r="H30" s="32" t="n">
        <f aca="false">SUMPRODUCT(Hitung_Unit!$R$5:$R$104,Hitung_Unit!$N$5:$N$104,Hitung_Unit!$H$5:$H$104)</f>
        <v>0</v>
      </c>
      <c r="I30" s="32" t="n">
        <f aca="false">SUMPRODUCT(Hitung_Unit!$R$5:$R$104,Hitung_Unit!$O$5:$O$104,Hitung_Unit!$H$5:$H$104)</f>
        <v>0</v>
      </c>
      <c r="J30" s="32" t="n">
        <f aca="false">SUMPRODUCT(Hitung_Unit!$R$5:$R$104,Hitung_Unit!$P$5:$P$104,Hitung_Unit!$H$5:$H$104)</f>
        <v>0</v>
      </c>
      <c r="K30" s="32" t="n">
        <f aca="false">SUMPRODUCT(Hitung_Unit!$R$5:$R$104,Hitung_Unit!$Q$5:$Q$104,Hitung_Unit!$H$5:$H$104)</f>
        <v>0</v>
      </c>
      <c r="L30" s="32" t="n">
        <f aca="false">SUMPRODUCT(Hitung_Unit!$R$5:$R$104,Hitung_Unit!$R$5:$R$104-1,Hitung_Unit!$H$5:$H$104)</f>
        <v>0</v>
      </c>
      <c r="M30" s="32" t="n">
        <f aca="false">SUMPRODUCT(Hitung_Unit!$R$5:$R$104,Hitung_Unit!$S$5:$S$104,Hitung_Unit!$H$5:$H$104)</f>
        <v>0</v>
      </c>
      <c r="N30" s="32" t="n">
        <f aca="false">SUMPRODUCT(Hitung_Unit!$R$5:$R$104,Hitung_Unit!$T$5:$T$104,Hitung_Unit!$H$5:$H$104)</f>
        <v>0</v>
      </c>
      <c r="O30" s="32" t="n">
        <f aca="false">SUMPRODUCT(Hitung_Unit!$R$5:$R$104,Hitung_Unit!$U$5:$U$104,Hitung_Unit!$H$5:$H$104)</f>
        <v>0</v>
      </c>
      <c r="P30" s="32" t="n">
        <f aca="false">SUMPRODUCT(Hitung_Unit!$R$5:$R$104,Hitung_Unit!$V$5:$V$104,Hitung_Unit!$H$5:$H$104)</f>
        <v>0</v>
      </c>
      <c r="Q30" s="32" t="n">
        <f aca="false">SUMPRODUCT(Hitung_Unit!$R$5:$R$104,Hitung_Unit!$W$5:$W$104,Hitung_Unit!$H$5:$H$104)</f>
        <v>0</v>
      </c>
      <c r="R30" s="32" t="n">
        <f aca="false">SUMPRODUCT(Hitung_Unit!$R$5:$R$104,Hitung_Unit!$X$5:$X$104,Hitung_Unit!$H$5:$H$104)</f>
        <v>0</v>
      </c>
      <c r="S30" s="32" t="n">
        <f aca="false">SUMPRODUCT(Hitung_Unit!$R$5:$R$104,Hitung_Unit!$Y$5:$Y$104,Hitung_Unit!$H$5:$H$104)</f>
        <v>0</v>
      </c>
      <c r="T30" s="32" t="n">
        <f aca="false">SUMPRODUCT(Hitung_Unit!$R$5:$R$104,Hitung_Unit!$Z$5:$Z$104,Hitung_Unit!$H$5:$H$104)</f>
        <v>0</v>
      </c>
      <c r="U30" s="32" t="n">
        <f aca="false">SUMPRODUCT(Hitung_Unit!$R$5:$R$104,Hitung_Unit!$AA$5:$AA$104,Hitung_Unit!$H$5:$H$104)</f>
        <v>0</v>
      </c>
      <c r="V30" s="32" t="n">
        <f aca="false">SUMPRODUCT(Hitung_Unit!$R$5:$R$104,Hitung_Unit!$AB$5:$AB$104,Hitung_Unit!$H$5:$H$104)</f>
        <v>0</v>
      </c>
      <c r="W30" s="33" t="n">
        <f aca="false">SUM(C30:V30)</f>
        <v>0</v>
      </c>
    </row>
    <row r="31" customFormat="false" ht="15" hidden="false" customHeight="false" outlineLevel="0" collapsed="false">
      <c r="A31" s="15" t="n">
        <v>11</v>
      </c>
      <c r="B31" s="15" t="str">
        <f aca="false">IF(Input!$H$20="","",Input!$H$20)</f>
        <v/>
      </c>
      <c r="C31" s="32" t="n">
        <f aca="false">SUMPRODUCT(Hitung_Unit!$S$5:$S$104,Hitung_Unit!$I$5:$I$104,Hitung_Unit!$H$5:$H$104)</f>
        <v>0</v>
      </c>
      <c r="D31" s="32" t="n">
        <f aca="false">SUMPRODUCT(Hitung_Unit!$S$5:$S$104,Hitung_Unit!$J$5:$J$104,Hitung_Unit!$H$5:$H$104)</f>
        <v>0</v>
      </c>
      <c r="E31" s="32" t="n">
        <f aca="false">SUMPRODUCT(Hitung_Unit!$S$5:$S$104,Hitung_Unit!$K$5:$K$104,Hitung_Unit!$H$5:$H$104)</f>
        <v>0</v>
      </c>
      <c r="F31" s="32" t="n">
        <f aca="false">SUMPRODUCT(Hitung_Unit!$S$5:$S$104,Hitung_Unit!$L$5:$L$104,Hitung_Unit!$H$5:$H$104)</f>
        <v>0</v>
      </c>
      <c r="G31" s="32" t="n">
        <f aca="false">SUMPRODUCT(Hitung_Unit!$S$5:$S$104,Hitung_Unit!$M$5:$M$104,Hitung_Unit!$H$5:$H$104)</f>
        <v>0</v>
      </c>
      <c r="H31" s="32" t="n">
        <f aca="false">SUMPRODUCT(Hitung_Unit!$S$5:$S$104,Hitung_Unit!$N$5:$N$104,Hitung_Unit!$H$5:$H$104)</f>
        <v>0</v>
      </c>
      <c r="I31" s="32" t="n">
        <f aca="false">SUMPRODUCT(Hitung_Unit!$S$5:$S$104,Hitung_Unit!$O$5:$O$104,Hitung_Unit!$H$5:$H$104)</f>
        <v>0</v>
      </c>
      <c r="J31" s="32" t="n">
        <f aca="false">SUMPRODUCT(Hitung_Unit!$S$5:$S$104,Hitung_Unit!$P$5:$P$104,Hitung_Unit!$H$5:$H$104)</f>
        <v>0</v>
      </c>
      <c r="K31" s="32" t="n">
        <f aca="false">SUMPRODUCT(Hitung_Unit!$S$5:$S$104,Hitung_Unit!$Q$5:$Q$104,Hitung_Unit!$H$5:$H$104)</f>
        <v>0</v>
      </c>
      <c r="L31" s="32" t="n">
        <f aca="false">SUMPRODUCT(Hitung_Unit!$S$5:$S$104,Hitung_Unit!$R$5:$R$104,Hitung_Unit!$H$5:$H$104)</f>
        <v>0</v>
      </c>
      <c r="M31" s="32" t="n">
        <f aca="false">SUMPRODUCT(Hitung_Unit!$S$5:$S$104,Hitung_Unit!$S$5:$S$104-1,Hitung_Unit!$H$5:$H$104)</f>
        <v>0</v>
      </c>
      <c r="N31" s="32" t="n">
        <f aca="false">SUMPRODUCT(Hitung_Unit!$S$5:$S$104,Hitung_Unit!$T$5:$T$104,Hitung_Unit!$H$5:$H$104)</f>
        <v>0</v>
      </c>
      <c r="O31" s="32" t="n">
        <f aca="false">SUMPRODUCT(Hitung_Unit!$S$5:$S$104,Hitung_Unit!$U$5:$U$104,Hitung_Unit!$H$5:$H$104)</f>
        <v>0</v>
      </c>
      <c r="P31" s="32" t="n">
        <f aca="false">SUMPRODUCT(Hitung_Unit!$S$5:$S$104,Hitung_Unit!$V$5:$V$104,Hitung_Unit!$H$5:$H$104)</f>
        <v>0</v>
      </c>
      <c r="Q31" s="32" t="n">
        <f aca="false">SUMPRODUCT(Hitung_Unit!$S$5:$S$104,Hitung_Unit!$W$5:$W$104,Hitung_Unit!$H$5:$H$104)</f>
        <v>0</v>
      </c>
      <c r="R31" s="32" t="n">
        <f aca="false">SUMPRODUCT(Hitung_Unit!$S$5:$S$104,Hitung_Unit!$X$5:$X$104,Hitung_Unit!$H$5:$H$104)</f>
        <v>0</v>
      </c>
      <c r="S31" s="32" t="n">
        <f aca="false">SUMPRODUCT(Hitung_Unit!$S$5:$S$104,Hitung_Unit!$Y$5:$Y$104,Hitung_Unit!$H$5:$H$104)</f>
        <v>0</v>
      </c>
      <c r="T31" s="32" t="n">
        <f aca="false">SUMPRODUCT(Hitung_Unit!$S$5:$S$104,Hitung_Unit!$Z$5:$Z$104,Hitung_Unit!$H$5:$H$104)</f>
        <v>0</v>
      </c>
      <c r="U31" s="32" t="n">
        <f aca="false">SUMPRODUCT(Hitung_Unit!$S$5:$S$104,Hitung_Unit!$AA$5:$AA$104,Hitung_Unit!$H$5:$H$104)</f>
        <v>0</v>
      </c>
      <c r="V31" s="32" t="n">
        <f aca="false">SUMPRODUCT(Hitung_Unit!$S$5:$S$104,Hitung_Unit!$AB$5:$AB$104,Hitung_Unit!$H$5:$H$104)</f>
        <v>0</v>
      </c>
      <c r="W31" s="33" t="n">
        <f aca="false">SUM(C31:V31)</f>
        <v>0</v>
      </c>
    </row>
    <row r="32" customFormat="false" ht="15" hidden="false" customHeight="false" outlineLevel="0" collapsed="false">
      <c r="A32" s="15" t="n">
        <v>12</v>
      </c>
      <c r="B32" s="15" t="str">
        <f aca="false">IF(Input!$H$21="","",Input!$H$21)</f>
        <v/>
      </c>
      <c r="C32" s="32" t="n">
        <f aca="false">SUMPRODUCT(Hitung_Unit!$T$5:$T$104,Hitung_Unit!$I$5:$I$104,Hitung_Unit!$H$5:$H$104)</f>
        <v>0</v>
      </c>
      <c r="D32" s="32" t="n">
        <f aca="false">SUMPRODUCT(Hitung_Unit!$T$5:$T$104,Hitung_Unit!$J$5:$J$104,Hitung_Unit!$H$5:$H$104)</f>
        <v>0</v>
      </c>
      <c r="E32" s="32" t="n">
        <f aca="false">SUMPRODUCT(Hitung_Unit!$T$5:$T$104,Hitung_Unit!$K$5:$K$104,Hitung_Unit!$H$5:$H$104)</f>
        <v>0</v>
      </c>
      <c r="F32" s="32" t="n">
        <f aca="false">SUMPRODUCT(Hitung_Unit!$T$5:$T$104,Hitung_Unit!$L$5:$L$104,Hitung_Unit!$H$5:$H$104)</f>
        <v>0</v>
      </c>
      <c r="G32" s="32" t="n">
        <f aca="false">SUMPRODUCT(Hitung_Unit!$T$5:$T$104,Hitung_Unit!$M$5:$M$104,Hitung_Unit!$H$5:$H$104)</f>
        <v>0</v>
      </c>
      <c r="H32" s="32" t="n">
        <f aca="false">SUMPRODUCT(Hitung_Unit!$T$5:$T$104,Hitung_Unit!$N$5:$N$104,Hitung_Unit!$H$5:$H$104)</f>
        <v>0</v>
      </c>
      <c r="I32" s="32" t="n">
        <f aca="false">SUMPRODUCT(Hitung_Unit!$T$5:$T$104,Hitung_Unit!$O$5:$O$104,Hitung_Unit!$H$5:$H$104)</f>
        <v>0</v>
      </c>
      <c r="J32" s="32" t="n">
        <f aca="false">SUMPRODUCT(Hitung_Unit!$T$5:$T$104,Hitung_Unit!$P$5:$P$104,Hitung_Unit!$H$5:$H$104)</f>
        <v>0</v>
      </c>
      <c r="K32" s="32" t="n">
        <f aca="false">SUMPRODUCT(Hitung_Unit!$T$5:$T$104,Hitung_Unit!$Q$5:$Q$104,Hitung_Unit!$H$5:$H$104)</f>
        <v>0</v>
      </c>
      <c r="L32" s="32" t="n">
        <f aca="false">SUMPRODUCT(Hitung_Unit!$T$5:$T$104,Hitung_Unit!$R$5:$R$104,Hitung_Unit!$H$5:$H$104)</f>
        <v>0</v>
      </c>
      <c r="M32" s="32" t="n">
        <f aca="false">SUMPRODUCT(Hitung_Unit!$T$5:$T$104,Hitung_Unit!$S$5:$S$104,Hitung_Unit!$H$5:$H$104)</f>
        <v>0</v>
      </c>
      <c r="N32" s="32" t="n">
        <f aca="false">SUMPRODUCT(Hitung_Unit!$T$5:$T$104,Hitung_Unit!$T$5:$T$104-1,Hitung_Unit!$H$5:$H$104)</f>
        <v>0</v>
      </c>
      <c r="O32" s="32" t="n">
        <f aca="false">SUMPRODUCT(Hitung_Unit!$T$5:$T$104,Hitung_Unit!$U$5:$U$104,Hitung_Unit!$H$5:$H$104)</f>
        <v>0</v>
      </c>
      <c r="P32" s="32" t="n">
        <f aca="false">SUMPRODUCT(Hitung_Unit!$T$5:$T$104,Hitung_Unit!$V$5:$V$104,Hitung_Unit!$H$5:$H$104)</f>
        <v>0</v>
      </c>
      <c r="Q32" s="32" t="n">
        <f aca="false">SUMPRODUCT(Hitung_Unit!$T$5:$T$104,Hitung_Unit!$W$5:$W$104,Hitung_Unit!$H$5:$H$104)</f>
        <v>0</v>
      </c>
      <c r="R32" s="32" t="n">
        <f aca="false">SUMPRODUCT(Hitung_Unit!$T$5:$T$104,Hitung_Unit!$X$5:$X$104,Hitung_Unit!$H$5:$H$104)</f>
        <v>0</v>
      </c>
      <c r="S32" s="32" t="n">
        <f aca="false">SUMPRODUCT(Hitung_Unit!$T$5:$T$104,Hitung_Unit!$Y$5:$Y$104,Hitung_Unit!$H$5:$H$104)</f>
        <v>0</v>
      </c>
      <c r="T32" s="32" t="n">
        <f aca="false">SUMPRODUCT(Hitung_Unit!$T$5:$T$104,Hitung_Unit!$Z$5:$Z$104,Hitung_Unit!$H$5:$H$104)</f>
        <v>0</v>
      </c>
      <c r="U32" s="32" t="n">
        <f aca="false">SUMPRODUCT(Hitung_Unit!$T$5:$T$104,Hitung_Unit!$AA$5:$AA$104,Hitung_Unit!$H$5:$H$104)</f>
        <v>0</v>
      </c>
      <c r="V32" s="32" t="n">
        <f aca="false">SUMPRODUCT(Hitung_Unit!$T$5:$T$104,Hitung_Unit!$AB$5:$AB$104,Hitung_Unit!$H$5:$H$104)</f>
        <v>0</v>
      </c>
      <c r="W32" s="33" t="n">
        <f aca="false">SUM(C32:V32)</f>
        <v>0</v>
      </c>
    </row>
    <row r="33" customFormat="false" ht="15" hidden="false" customHeight="false" outlineLevel="0" collapsed="false">
      <c r="A33" s="15" t="n">
        <v>13</v>
      </c>
      <c r="B33" s="15" t="str">
        <f aca="false">IF(Input!$H$22="","",Input!$H$22)</f>
        <v/>
      </c>
      <c r="C33" s="32" t="n">
        <f aca="false">SUMPRODUCT(Hitung_Unit!$U$5:$U$104,Hitung_Unit!$I$5:$I$104,Hitung_Unit!$H$5:$H$104)</f>
        <v>0</v>
      </c>
      <c r="D33" s="32" t="n">
        <f aca="false">SUMPRODUCT(Hitung_Unit!$U$5:$U$104,Hitung_Unit!$J$5:$J$104,Hitung_Unit!$H$5:$H$104)</f>
        <v>0</v>
      </c>
      <c r="E33" s="32" t="n">
        <f aca="false">SUMPRODUCT(Hitung_Unit!$U$5:$U$104,Hitung_Unit!$K$5:$K$104,Hitung_Unit!$H$5:$H$104)</f>
        <v>0</v>
      </c>
      <c r="F33" s="32" t="n">
        <f aca="false">SUMPRODUCT(Hitung_Unit!$U$5:$U$104,Hitung_Unit!$L$5:$L$104,Hitung_Unit!$H$5:$H$104)</f>
        <v>0</v>
      </c>
      <c r="G33" s="32" t="n">
        <f aca="false">SUMPRODUCT(Hitung_Unit!$U$5:$U$104,Hitung_Unit!$M$5:$M$104,Hitung_Unit!$H$5:$H$104)</f>
        <v>0</v>
      </c>
      <c r="H33" s="32" t="n">
        <f aca="false">SUMPRODUCT(Hitung_Unit!$U$5:$U$104,Hitung_Unit!$N$5:$N$104,Hitung_Unit!$H$5:$H$104)</f>
        <v>0</v>
      </c>
      <c r="I33" s="32" t="n">
        <f aca="false">SUMPRODUCT(Hitung_Unit!$U$5:$U$104,Hitung_Unit!$O$5:$O$104,Hitung_Unit!$H$5:$H$104)</f>
        <v>0</v>
      </c>
      <c r="J33" s="32" t="n">
        <f aca="false">SUMPRODUCT(Hitung_Unit!$U$5:$U$104,Hitung_Unit!$P$5:$P$104,Hitung_Unit!$H$5:$H$104)</f>
        <v>0</v>
      </c>
      <c r="K33" s="32" t="n">
        <f aca="false">SUMPRODUCT(Hitung_Unit!$U$5:$U$104,Hitung_Unit!$Q$5:$Q$104,Hitung_Unit!$H$5:$H$104)</f>
        <v>0</v>
      </c>
      <c r="L33" s="32" t="n">
        <f aca="false">SUMPRODUCT(Hitung_Unit!$U$5:$U$104,Hitung_Unit!$R$5:$R$104,Hitung_Unit!$H$5:$H$104)</f>
        <v>0</v>
      </c>
      <c r="M33" s="32" t="n">
        <f aca="false">SUMPRODUCT(Hitung_Unit!$U$5:$U$104,Hitung_Unit!$S$5:$S$104,Hitung_Unit!$H$5:$H$104)</f>
        <v>0</v>
      </c>
      <c r="N33" s="32" t="n">
        <f aca="false">SUMPRODUCT(Hitung_Unit!$U$5:$U$104,Hitung_Unit!$T$5:$T$104,Hitung_Unit!$H$5:$H$104)</f>
        <v>0</v>
      </c>
      <c r="O33" s="32" t="n">
        <f aca="false">SUMPRODUCT(Hitung_Unit!$U$5:$U$104,Hitung_Unit!$U$5:$U$104-1,Hitung_Unit!$H$5:$H$104)</f>
        <v>0</v>
      </c>
      <c r="P33" s="32" t="n">
        <f aca="false">SUMPRODUCT(Hitung_Unit!$U$5:$U$104,Hitung_Unit!$V$5:$V$104,Hitung_Unit!$H$5:$H$104)</f>
        <v>0</v>
      </c>
      <c r="Q33" s="32" t="n">
        <f aca="false">SUMPRODUCT(Hitung_Unit!$U$5:$U$104,Hitung_Unit!$W$5:$W$104,Hitung_Unit!$H$5:$H$104)</f>
        <v>0</v>
      </c>
      <c r="R33" s="32" t="n">
        <f aca="false">SUMPRODUCT(Hitung_Unit!$U$5:$U$104,Hitung_Unit!$X$5:$X$104,Hitung_Unit!$H$5:$H$104)</f>
        <v>0</v>
      </c>
      <c r="S33" s="32" t="n">
        <f aca="false">SUMPRODUCT(Hitung_Unit!$U$5:$U$104,Hitung_Unit!$Y$5:$Y$104,Hitung_Unit!$H$5:$H$104)</f>
        <v>0</v>
      </c>
      <c r="T33" s="32" t="n">
        <f aca="false">SUMPRODUCT(Hitung_Unit!$U$5:$U$104,Hitung_Unit!$Z$5:$Z$104,Hitung_Unit!$H$5:$H$104)</f>
        <v>0</v>
      </c>
      <c r="U33" s="32" t="n">
        <f aca="false">SUMPRODUCT(Hitung_Unit!$U$5:$U$104,Hitung_Unit!$AA$5:$AA$104,Hitung_Unit!$H$5:$H$104)</f>
        <v>0</v>
      </c>
      <c r="V33" s="32" t="n">
        <f aca="false">SUMPRODUCT(Hitung_Unit!$U$5:$U$104,Hitung_Unit!$AB$5:$AB$104,Hitung_Unit!$H$5:$H$104)</f>
        <v>0</v>
      </c>
      <c r="W33" s="33" t="n">
        <f aca="false">SUM(C33:V33)</f>
        <v>0</v>
      </c>
    </row>
    <row r="34" customFormat="false" ht="15" hidden="false" customHeight="false" outlineLevel="0" collapsed="false">
      <c r="A34" s="15" t="n">
        <v>14</v>
      </c>
      <c r="B34" s="15" t="str">
        <f aca="false">IF(Input!$H$23="","",Input!$H$23)</f>
        <v/>
      </c>
      <c r="C34" s="32" t="n">
        <f aca="false">SUMPRODUCT(Hitung_Unit!$V$5:$V$104,Hitung_Unit!$I$5:$I$104,Hitung_Unit!$H$5:$H$104)</f>
        <v>0</v>
      </c>
      <c r="D34" s="32" t="n">
        <f aca="false">SUMPRODUCT(Hitung_Unit!$V$5:$V$104,Hitung_Unit!$J$5:$J$104,Hitung_Unit!$H$5:$H$104)</f>
        <v>0</v>
      </c>
      <c r="E34" s="32" t="n">
        <f aca="false">SUMPRODUCT(Hitung_Unit!$V$5:$V$104,Hitung_Unit!$K$5:$K$104,Hitung_Unit!$H$5:$H$104)</f>
        <v>0</v>
      </c>
      <c r="F34" s="32" t="n">
        <f aca="false">SUMPRODUCT(Hitung_Unit!$V$5:$V$104,Hitung_Unit!$L$5:$L$104,Hitung_Unit!$H$5:$H$104)</f>
        <v>0</v>
      </c>
      <c r="G34" s="32" t="n">
        <f aca="false">SUMPRODUCT(Hitung_Unit!$V$5:$V$104,Hitung_Unit!$M$5:$M$104,Hitung_Unit!$H$5:$H$104)</f>
        <v>0</v>
      </c>
      <c r="H34" s="32" t="n">
        <f aca="false">SUMPRODUCT(Hitung_Unit!$V$5:$V$104,Hitung_Unit!$N$5:$N$104,Hitung_Unit!$H$5:$H$104)</f>
        <v>0</v>
      </c>
      <c r="I34" s="32" t="n">
        <f aca="false">SUMPRODUCT(Hitung_Unit!$V$5:$V$104,Hitung_Unit!$O$5:$O$104,Hitung_Unit!$H$5:$H$104)</f>
        <v>0</v>
      </c>
      <c r="J34" s="32" t="n">
        <f aca="false">SUMPRODUCT(Hitung_Unit!$V$5:$V$104,Hitung_Unit!$P$5:$P$104,Hitung_Unit!$H$5:$H$104)</f>
        <v>0</v>
      </c>
      <c r="K34" s="32" t="n">
        <f aca="false">SUMPRODUCT(Hitung_Unit!$V$5:$V$104,Hitung_Unit!$Q$5:$Q$104,Hitung_Unit!$H$5:$H$104)</f>
        <v>0</v>
      </c>
      <c r="L34" s="32" t="n">
        <f aca="false">SUMPRODUCT(Hitung_Unit!$V$5:$V$104,Hitung_Unit!$R$5:$R$104,Hitung_Unit!$H$5:$H$104)</f>
        <v>0</v>
      </c>
      <c r="M34" s="32" t="n">
        <f aca="false">SUMPRODUCT(Hitung_Unit!$V$5:$V$104,Hitung_Unit!$S$5:$S$104,Hitung_Unit!$H$5:$H$104)</f>
        <v>0</v>
      </c>
      <c r="N34" s="32" t="n">
        <f aca="false">SUMPRODUCT(Hitung_Unit!$V$5:$V$104,Hitung_Unit!$T$5:$T$104,Hitung_Unit!$H$5:$H$104)</f>
        <v>0</v>
      </c>
      <c r="O34" s="32" t="n">
        <f aca="false">SUMPRODUCT(Hitung_Unit!$V$5:$V$104,Hitung_Unit!$U$5:$U$104,Hitung_Unit!$H$5:$H$104)</f>
        <v>0</v>
      </c>
      <c r="P34" s="32" t="n">
        <f aca="false">SUMPRODUCT(Hitung_Unit!$V$5:$V$104,Hitung_Unit!$V$5:$V$104-1,Hitung_Unit!$H$5:$H$104)</f>
        <v>0</v>
      </c>
      <c r="Q34" s="32" t="n">
        <f aca="false">SUMPRODUCT(Hitung_Unit!$V$5:$V$104,Hitung_Unit!$W$5:$W$104,Hitung_Unit!$H$5:$H$104)</f>
        <v>0</v>
      </c>
      <c r="R34" s="32" t="n">
        <f aca="false">SUMPRODUCT(Hitung_Unit!$V$5:$V$104,Hitung_Unit!$X$5:$X$104,Hitung_Unit!$H$5:$H$104)</f>
        <v>0</v>
      </c>
      <c r="S34" s="32" t="n">
        <f aca="false">SUMPRODUCT(Hitung_Unit!$V$5:$V$104,Hitung_Unit!$Y$5:$Y$104,Hitung_Unit!$H$5:$H$104)</f>
        <v>0</v>
      </c>
      <c r="T34" s="32" t="n">
        <f aca="false">SUMPRODUCT(Hitung_Unit!$V$5:$V$104,Hitung_Unit!$Z$5:$Z$104,Hitung_Unit!$H$5:$H$104)</f>
        <v>0</v>
      </c>
      <c r="U34" s="32" t="n">
        <f aca="false">SUMPRODUCT(Hitung_Unit!$V$5:$V$104,Hitung_Unit!$AA$5:$AA$104,Hitung_Unit!$H$5:$H$104)</f>
        <v>0</v>
      </c>
      <c r="V34" s="32" t="n">
        <f aca="false">SUMPRODUCT(Hitung_Unit!$V$5:$V$104,Hitung_Unit!$AB$5:$AB$104,Hitung_Unit!$H$5:$H$104)</f>
        <v>0</v>
      </c>
      <c r="W34" s="33" t="n">
        <f aca="false">SUM(C34:V34)</f>
        <v>0</v>
      </c>
    </row>
    <row r="35" customFormat="false" ht="15" hidden="false" customHeight="false" outlineLevel="0" collapsed="false">
      <c r="A35" s="15" t="n">
        <v>15</v>
      </c>
      <c r="B35" s="15" t="str">
        <f aca="false">IF(Input!$H$24="","",Input!$H$24)</f>
        <v/>
      </c>
      <c r="C35" s="32" t="n">
        <f aca="false">SUMPRODUCT(Hitung_Unit!$W$5:$W$104,Hitung_Unit!$I$5:$I$104,Hitung_Unit!$H$5:$H$104)</f>
        <v>0</v>
      </c>
      <c r="D35" s="32" t="n">
        <f aca="false">SUMPRODUCT(Hitung_Unit!$W$5:$W$104,Hitung_Unit!$J$5:$J$104,Hitung_Unit!$H$5:$H$104)</f>
        <v>0</v>
      </c>
      <c r="E35" s="32" t="n">
        <f aca="false">SUMPRODUCT(Hitung_Unit!$W$5:$W$104,Hitung_Unit!$K$5:$K$104,Hitung_Unit!$H$5:$H$104)</f>
        <v>0</v>
      </c>
      <c r="F35" s="32" t="n">
        <f aca="false">SUMPRODUCT(Hitung_Unit!$W$5:$W$104,Hitung_Unit!$L$5:$L$104,Hitung_Unit!$H$5:$H$104)</f>
        <v>0</v>
      </c>
      <c r="G35" s="32" t="n">
        <f aca="false">SUMPRODUCT(Hitung_Unit!$W$5:$W$104,Hitung_Unit!$M$5:$M$104,Hitung_Unit!$H$5:$H$104)</f>
        <v>0</v>
      </c>
      <c r="H35" s="32" t="n">
        <f aca="false">SUMPRODUCT(Hitung_Unit!$W$5:$W$104,Hitung_Unit!$N$5:$N$104,Hitung_Unit!$H$5:$H$104)</f>
        <v>0</v>
      </c>
      <c r="I35" s="32" t="n">
        <f aca="false">SUMPRODUCT(Hitung_Unit!$W$5:$W$104,Hitung_Unit!$O$5:$O$104,Hitung_Unit!$H$5:$H$104)</f>
        <v>0</v>
      </c>
      <c r="J35" s="32" t="n">
        <f aca="false">SUMPRODUCT(Hitung_Unit!$W$5:$W$104,Hitung_Unit!$P$5:$P$104,Hitung_Unit!$H$5:$H$104)</f>
        <v>0</v>
      </c>
      <c r="K35" s="32" t="n">
        <f aca="false">SUMPRODUCT(Hitung_Unit!$W$5:$W$104,Hitung_Unit!$Q$5:$Q$104,Hitung_Unit!$H$5:$H$104)</f>
        <v>0</v>
      </c>
      <c r="L35" s="32" t="n">
        <f aca="false">SUMPRODUCT(Hitung_Unit!$W$5:$W$104,Hitung_Unit!$R$5:$R$104,Hitung_Unit!$H$5:$H$104)</f>
        <v>0</v>
      </c>
      <c r="M35" s="32" t="n">
        <f aca="false">SUMPRODUCT(Hitung_Unit!$W$5:$W$104,Hitung_Unit!$S$5:$S$104,Hitung_Unit!$H$5:$H$104)</f>
        <v>0</v>
      </c>
      <c r="N35" s="32" t="n">
        <f aca="false">SUMPRODUCT(Hitung_Unit!$W$5:$W$104,Hitung_Unit!$T$5:$T$104,Hitung_Unit!$H$5:$H$104)</f>
        <v>0</v>
      </c>
      <c r="O35" s="32" t="n">
        <f aca="false">SUMPRODUCT(Hitung_Unit!$W$5:$W$104,Hitung_Unit!$U$5:$U$104,Hitung_Unit!$H$5:$H$104)</f>
        <v>0</v>
      </c>
      <c r="P35" s="32" t="n">
        <f aca="false">SUMPRODUCT(Hitung_Unit!$W$5:$W$104,Hitung_Unit!$V$5:$V$104,Hitung_Unit!$H$5:$H$104)</f>
        <v>0</v>
      </c>
      <c r="Q35" s="32" t="n">
        <f aca="false">SUMPRODUCT(Hitung_Unit!$W$5:$W$104,Hitung_Unit!$W$5:$W$104-1,Hitung_Unit!$H$5:$H$104)</f>
        <v>0</v>
      </c>
      <c r="R35" s="32" t="n">
        <f aca="false">SUMPRODUCT(Hitung_Unit!$W$5:$W$104,Hitung_Unit!$X$5:$X$104,Hitung_Unit!$H$5:$H$104)</f>
        <v>0</v>
      </c>
      <c r="S35" s="32" t="n">
        <f aca="false">SUMPRODUCT(Hitung_Unit!$W$5:$W$104,Hitung_Unit!$Y$5:$Y$104,Hitung_Unit!$H$5:$H$104)</f>
        <v>0</v>
      </c>
      <c r="T35" s="32" t="n">
        <f aca="false">SUMPRODUCT(Hitung_Unit!$W$5:$W$104,Hitung_Unit!$Z$5:$Z$104,Hitung_Unit!$H$5:$H$104)</f>
        <v>0</v>
      </c>
      <c r="U35" s="32" t="n">
        <f aca="false">SUMPRODUCT(Hitung_Unit!$W$5:$W$104,Hitung_Unit!$AA$5:$AA$104,Hitung_Unit!$H$5:$H$104)</f>
        <v>0</v>
      </c>
      <c r="V35" s="32" t="n">
        <f aca="false">SUMPRODUCT(Hitung_Unit!$W$5:$W$104,Hitung_Unit!$AB$5:$AB$104,Hitung_Unit!$H$5:$H$104)</f>
        <v>0</v>
      </c>
      <c r="W35" s="33" t="n">
        <f aca="false">SUM(C35:V35)</f>
        <v>0</v>
      </c>
    </row>
    <row r="36" customFormat="false" ht="15" hidden="false" customHeight="false" outlineLevel="0" collapsed="false">
      <c r="A36" s="15" t="n">
        <v>16</v>
      </c>
      <c r="B36" s="15" t="str">
        <f aca="false">IF(Input!$H$25="","",Input!$H$25)</f>
        <v/>
      </c>
      <c r="C36" s="32" t="n">
        <f aca="false">SUMPRODUCT(Hitung_Unit!$X$5:$X$104,Hitung_Unit!$I$5:$I$104,Hitung_Unit!$H$5:$H$104)</f>
        <v>0</v>
      </c>
      <c r="D36" s="32" t="n">
        <f aca="false">SUMPRODUCT(Hitung_Unit!$X$5:$X$104,Hitung_Unit!$J$5:$J$104,Hitung_Unit!$H$5:$H$104)</f>
        <v>0</v>
      </c>
      <c r="E36" s="32" t="n">
        <f aca="false">SUMPRODUCT(Hitung_Unit!$X$5:$X$104,Hitung_Unit!$K$5:$K$104,Hitung_Unit!$H$5:$H$104)</f>
        <v>0</v>
      </c>
      <c r="F36" s="32" t="n">
        <f aca="false">SUMPRODUCT(Hitung_Unit!$X$5:$X$104,Hitung_Unit!$L$5:$L$104,Hitung_Unit!$H$5:$H$104)</f>
        <v>0</v>
      </c>
      <c r="G36" s="32" t="n">
        <f aca="false">SUMPRODUCT(Hitung_Unit!$X$5:$X$104,Hitung_Unit!$M$5:$M$104,Hitung_Unit!$H$5:$H$104)</f>
        <v>0</v>
      </c>
      <c r="H36" s="32" t="n">
        <f aca="false">SUMPRODUCT(Hitung_Unit!$X$5:$X$104,Hitung_Unit!$N$5:$N$104,Hitung_Unit!$H$5:$H$104)</f>
        <v>0</v>
      </c>
      <c r="I36" s="32" t="n">
        <f aca="false">SUMPRODUCT(Hitung_Unit!$X$5:$X$104,Hitung_Unit!$O$5:$O$104,Hitung_Unit!$H$5:$H$104)</f>
        <v>0</v>
      </c>
      <c r="J36" s="32" t="n">
        <f aca="false">SUMPRODUCT(Hitung_Unit!$X$5:$X$104,Hitung_Unit!$P$5:$P$104,Hitung_Unit!$H$5:$H$104)</f>
        <v>0</v>
      </c>
      <c r="K36" s="32" t="n">
        <f aca="false">SUMPRODUCT(Hitung_Unit!$X$5:$X$104,Hitung_Unit!$Q$5:$Q$104,Hitung_Unit!$H$5:$H$104)</f>
        <v>0</v>
      </c>
      <c r="L36" s="32" t="n">
        <f aca="false">SUMPRODUCT(Hitung_Unit!$X$5:$X$104,Hitung_Unit!$R$5:$R$104,Hitung_Unit!$H$5:$H$104)</f>
        <v>0</v>
      </c>
      <c r="M36" s="32" t="n">
        <f aca="false">SUMPRODUCT(Hitung_Unit!$X$5:$X$104,Hitung_Unit!$S$5:$S$104,Hitung_Unit!$H$5:$H$104)</f>
        <v>0</v>
      </c>
      <c r="N36" s="32" t="n">
        <f aca="false">SUMPRODUCT(Hitung_Unit!$X$5:$X$104,Hitung_Unit!$T$5:$T$104,Hitung_Unit!$H$5:$H$104)</f>
        <v>0</v>
      </c>
      <c r="O36" s="32" t="n">
        <f aca="false">SUMPRODUCT(Hitung_Unit!$X$5:$X$104,Hitung_Unit!$U$5:$U$104,Hitung_Unit!$H$5:$H$104)</f>
        <v>0</v>
      </c>
      <c r="P36" s="32" t="n">
        <f aca="false">SUMPRODUCT(Hitung_Unit!$X$5:$X$104,Hitung_Unit!$V$5:$V$104,Hitung_Unit!$H$5:$H$104)</f>
        <v>0</v>
      </c>
      <c r="Q36" s="32" t="n">
        <f aca="false">SUMPRODUCT(Hitung_Unit!$X$5:$X$104,Hitung_Unit!$W$5:$W$104,Hitung_Unit!$H$5:$H$104)</f>
        <v>0</v>
      </c>
      <c r="R36" s="32" t="n">
        <f aca="false">SUMPRODUCT(Hitung_Unit!$X$5:$X$104,Hitung_Unit!$X$5:$X$104-1,Hitung_Unit!$H$5:$H$104)</f>
        <v>0</v>
      </c>
      <c r="S36" s="32" t="n">
        <f aca="false">SUMPRODUCT(Hitung_Unit!$X$5:$X$104,Hitung_Unit!$Y$5:$Y$104,Hitung_Unit!$H$5:$H$104)</f>
        <v>0</v>
      </c>
      <c r="T36" s="32" t="n">
        <f aca="false">SUMPRODUCT(Hitung_Unit!$X$5:$X$104,Hitung_Unit!$Z$5:$Z$104,Hitung_Unit!$H$5:$H$104)</f>
        <v>0</v>
      </c>
      <c r="U36" s="32" t="n">
        <f aca="false">SUMPRODUCT(Hitung_Unit!$X$5:$X$104,Hitung_Unit!$AA$5:$AA$104,Hitung_Unit!$H$5:$H$104)</f>
        <v>0</v>
      </c>
      <c r="V36" s="32" t="n">
        <f aca="false">SUMPRODUCT(Hitung_Unit!$X$5:$X$104,Hitung_Unit!$AB$5:$AB$104,Hitung_Unit!$H$5:$H$104)</f>
        <v>0</v>
      </c>
      <c r="W36" s="33" t="n">
        <f aca="false">SUM(C36:V36)</f>
        <v>0</v>
      </c>
    </row>
    <row r="37" customFormat="false" ht="15" hidden="false" customHeight="false" outlineLevel="0" collapsed="false">
      <c r="A37" s="15" t="n">
        <v>17</v>
      </c>
      <c r="B37" s="15" t="str">
        <f aca="false">IF(Input!$H$26="","",Input!$H$26)</f>
        <v/>
      </c>
      <c r="C37" s="32" t="n">
        <f aca="false">SUMPRODUCT(Hitung_Unit!$Y$5:$Y$104,Hitung_Unit!$I$5:$I$104,Hitung_Unit!$H$5:$H$104)</f>
        <v>0</v>
      </c>
      <c r="D37" s="32" t="n">
        <f aca="false">SUMPRODUCT(Hitung_Unit!$Y$5:$Y$104,Hitung_Unit!$J$5:$J$104,Hitung_Unit!$H$5:$H$104)</f>
        <v>0</v>
      </c>
      <c r="E37" s="32" t="n">
        <f aca="false">SUMPRODUCT(Hitung_Unit!$Y$5:$Y$104,Hitung_Unit!$K$5:$K$104,Hitung_Unit!$H$5:$H$104)</f>
        <v>0</v>
      </c>
      <c r="F37" s="32" t="n">
        <f aca="false">SUMPRODUCT(Hitung_Unit!$Y$5:$Y$104,Hitung_Unit!$L$5:$L$104,Hitung_Unit!$H$5:$H$104)</f>
        <v>0</v>
      </c>
      <c r="G37" s="32" t="n">
        <f aca="false">SUMPRODUCT(Hitung_Unit!$Y$5:$Y$104,Hitung_Unit!$M$5:$M$104,Hitung_Unit!$H$5:$H$104)</f>
        <v>0</v>
      </c>
      <c r="H37" s="32" t="n">
        <f aca="false">SUMPRODUCT(Hitung_Unit!$Y$5:$Y$104,Hitung_Unit!$N$5:$N$104,Hitung_Unit!$H$5:$H$104)</f>
        <v>0</v>
      </c>
      <c r="I37" s="32" t="n">
        <f aca="false">SUMPRODUCT(Hitung_Unit!$Y$5:$Y$104,Hitung_Unit!$O$5:$O$104,Hitung_Unit!$H$5:$H$104)</f>
        <v>0</v>
      </c>
      <c r="J37" s="32" t="n">
        <f aca="false">SUMPRODUCT(Hitung_Unit!$Y$5:$Y$104,Hitung_Unit!$P$5:$P$104,Hitung_Unit!$H$5:$H$104)</f>
        <v>0</v>
      </c>
      <c r="K37" s="32" t="n">
        <f aca="false">SUMPRODUCT(Hitung_Unit!$Y$5:$Y$104,Hitung_Unit!$Q$5:$Q$104,Hitung_Unit!$H$5:$H$104)</f>
        <v>0</v>
      </c>
      <c r="L37" s="32" t="n">
        <f aca="false">SUMPRODUCT(Hitung_Unit!$Y$5:$Y$104,Hitung_Unit!$R$5:$R$104,Hitung_Unit!$H$5:$H$104)</f>
        <v>0</v>
      </c>
      <c r="M37" s="32" t="n">
        <f aca="false">SUMPRODUCT(Hitung_Unit!$Y$5:$Y$104,Hitung_Unit!$S$5:$S$104,Hitung_Unit!$H$5:$H$104)</f>
        <v>0</v>
      </c>
      <c r="N37" s="32" t="n">
        <f aca="false">SUMPRODUCT(Hitung_Unit!$Y$5:$Y$104,Hitung_Unit!$T$5:$T$104,Hitung_Unit!$H$5:$H$104)</f>
        <v>0</v>
      </c>
      <c r="O37" s="32" t="n">
        <f aca="false">SUMPRODUCT(Hitung_Unit!$Y$5:$Y$104,Hitung_Unit!$U$5:$U$104,Hitung_Unit!$H$5:$H$104)</f>
        <v>0</v>
      </c>
      <c r="P37" s="32" t="n">
        <f aca="false">SUMPRODUCT(Hitung_Unit!$Y$5:$Y$104,Hitung_Unit!$V$5:$V$104,Hitung_Unit!$H$5:$H$104)</f>
        <v>0</v>
      </c>
      <c r="Q37" s="32" t="n">
        <f aca="false">SUMPRODUCT(Hitung_Unit!$Y$5:$Y$104,Hitung_Unit!$W$5:$W$104,Hitung_Unit!$H$5:$H$104)</f>
        <v>0</v>
      </c>
      <c r="R37" s="32" t="n">
        <f aca="false">SUMPRODUCT(Hitung_Unit!$Y$5:$Y$104,Hitung_Unit!$X$5:$X$104,Hitung_Unit!$H$5:$H$104)</f>
        <v>0</v>
      </c>
      <c r="S37" s="32" t="n">
        <f aca="false">SUMPRODUCT(Hitung_Unit!$Y$5:$Y$104,Hitung_Unit!$Y$5:$Y$104-1,Hitung_Unit!$H$5:$H$104)</f>
        <v>0</v>
      </c>
      <c r="T37" s="32" t="n">
        <f aca="false">SUMPRODUCT(Hitung_Unit!$Y$5:$Y$104,Hitung_Unit!$Z$5:$Z$104,Hitung_Unit!$H$5:$H$104)</f>
        <v>0</v>
      </c>
      <c r="U37" s="32" t="n">
        <f aca="false">SUMPRODUCT(Hitung_Unit!$Y$5:$Y$104,Hitung_Unit!$AA$5:$AA$104,Hitung_Unit!$H$5:$H$104)</f>
        <v>0</v>
      </c>
      <c r="V37" s="32" t="n">
        <f aca="false">SUMPRODUCT(Hitung_Unit!$Y$5:$Y$104,Hitung_Unit!$AB$5:$AB$104,Hitung_Unit!$H$5:$H$104)</f>
        <v>0</v>
      </c>
      <c r="W37" s="33" t="n">
        <f aca="false">SUM(C37:V37)</f>
        <v>0</v>
      </c>
    </row>
    <row r="38" customFormat="false" ht="15" hidden="false" customHeight="false" outlineLevel="0" collapsed="false">
      <c r="A38" s="15" t="n">
        <v>18</v>
      </c>
      <c r="B38" s="15" t="str">
        <f aca="false">IF(Input!$H$27="","",Input!$H$27)</f>
        <v/>
      </c>
      <c r="C38" s="32" t="n">
        <f aca="false">SUMPRODUCT(Hitung_Unit!$Z$5:$Z$104,Hitung_Unit!$I$5:$I$104,Hitung_Unit!$H$5:$H$104)</f>
        <v>0</v>
      </c>
      <c r="D38" s="32" t="n">
        <f aca="false">SUMPRODUCT(Hitung_Unit!$Z$5:$Z$104,Hitung_Unit!$J$5:$J$104,Hitung_Unit!$H$5:$H$104)</f>
        <v>0</v>
      </c>
      <c r="E38" s="32" t="n">
        <f aca="false">SUMPRODUCT(Hitung_Unit!$Z$5:$Z$104,Hitung_Unit!$K$5:$K$104,Hitung_Unit!$H$5:$H$104)</f>
        <v>0</v>
      </c>
      <c r="F38" s="32" t="n">
        <f aca="false">SUMPRODUCT(Hitung_Unit!$Z$5:$Z$104,Hitung_Unit!$L$5:$L$104,Hitung_Unit!$H$5:$H$104)</f>
        <v>0</v>
      </c>
      <c r="G38" s="32" t="n">
        <f aca="false">SUMPRODUCT(Hitung_Unit!$Z$5:$Z$104,Hitung_Unit!$M$5:$M$104,Hitung_Unit!$H$5:$H$104)</f>
        <v>0</v>
      </c>
      <c r="H38" s="32" t="n">
        <f aca="false">SUMPRODUCT(Hitung_Unit!$Z$5:$Z$104,Hitung_Unit!$N$5:$N$104,Hitung_Unit!$H$5:$H$104)</f>
        <v>0</v>
      </c>
      <c r="I38" s="32" t="n">
        <f aca="false">SUMPRODUCT(Hitung_Unit!$Z$5:$Z$104,Hitung_Unit!$O$5:$O$104,Hitung_Unit!$H$5:$H$104)</f>
        <v>0</v>
      </c>
      <c r="J38" s="32" t="n">
        <f aca="false">SUMPRODUCT(Hitung_Unit!$Z$5:$Z$104,Hitung_Unit!$P$5:$P$104,Hitung_Unit!$H$5:$H$104)</f>
        <v>0</v>
      </c>
      <c r="K38" s="32" t="n">
        <f aca="false">SUMPRODUCT(Hitung_Unit!$Z$5:$Z$104,Hitung_Unit!$Q$5:$Q$104,Hitung_Unit!$H$5:$H$104)</f>
        <v>0</v>
      </c>
      <c r="L38" s="32" t="n">
        <f aca="false">SUMPRODUCT(Hitung_Unit!$Z$5:$Z$104,Hitung_Unit!$R$5:$R$104,Hitung_Unit!$H$5:$H$104)</f>
        <v>0</v>
      </c>
      <c r="M38" s="32" t="n">
        <f aca="false">SUMPRODUCT(Hitung_Unit!$Z$5:$Z$104,Hitung_Unit!$S$5:$S$104,Hitung_Unit!$H$5:$H$104)</f>
        <v>0</v>
      </c>
      <c r="N38" s="32" t="n">
        <f aca="false">SUMPRODUCT(Hitung_Unit!$Z$5:$Z$104,Hitung_Unit!$T$5:$T$104,Hitung_Unit!$H$5:$H$104)</f>
        <v>0</v>
      </c>
      <c r="O38" s="32" t="n">
        <f aca="false">SUMPRODUCT(Hitung_Unit!$Z$5:$Z$104,Hitung_Unit!$U$5:$U$104,Hitung_Unit!$H$5:$H$104)</f>
        <v>0</v>
      </c>
      <c r="P38" s="32" t="n">
        <f aca="false">SUMPRODUCT(Hitung_Unit!$Z$5:$Z$104,Hitung_Unit!$V$5:$V$104,Hitung_Unit!$H$5:$H$104)</f>
        <v>0</v>
      </c>
      <c r="Q38" s="32" t="n">
        <f aca="false">SUMPRODUCT(Hitung_Unit!$Z$5:$Z$104,Hitung_Unit!$W$5:$W$104,Hitung_Unit!$H$5:$H$104)</f>
        <v>0</v>
      </c>
      <c r="R38" s="32" t="n">
        <f aca="false">SUMPRODUCT(Hitung_Unit!$Z$5:$Z$104,Hitung_Unit!$X$5:$X$104,Hitung_Unit!$H$5:$H$104)</f>
        <v>0</v>
      </c>
      <c r="S38" s="32" t="n">
        <f aca="false">SUMPRODUCT(Hitung_Unit!$Z$5:$Z$104,Hitung_Unit!$Y$5:$Y$104,Hitung_Unit!$H$5:$H$104)</f>
        <v>0</v>
      </c>
      <c r="T38" s="32" t="n">
        <f aca="false">SUMPRODUCT(Hitung_Unit!$Z$5:$Z$104,Hitung_Unit!$Z$5:$Z$104-1,Hitung_Unit!$H$5:$H$104)</f>
        <v>0</v>
      </c>
      <c r="U38" s="32" t="n">
        <f aca="false">SUMPRODUCT(Hitung_Unit!$Z$5:$Z$104,Hitung_Unit!$AA$5:$AA$104,Hitung_Unit!$H$5:$H$104)</f>
        <v>0</v>
      </c>
      <c r="V38" s="32" t="n">
        <f aca="false">SUMPRODUCT(Hitung_Unit!$Z$5:$Z$104,Hitung_Unit!$AB$5:$AB$104,Hitung_Unit!$H$5:$H$104)</f>
        <v>0</v>
      </c>
      <c r="W38" s="33" t="n">
        <f aca="false">SUM(C38:V38)</f>
        <v>0</v>
      </c>
    </row>
    <row r="39" customFormat="false" ht="15" hidden="false" customHeight="false" outlineLevel="0" collapsed="false">
      <c r="A39" s="15" t="n">
        <v>19</v>
      </c>
      <c r="B39" s="15" t="str">
        <f aca="false">IF(Input!$H$28="","",Input!$H$28)</f>
        <v/>
      </c>
      <c r="C39" s="32" t="n">
        <f aca="false">SUMPRODUCT(Hitung_Unit!$AA$5:$AA$104,Hitung_Unit!$I$5:$I$104,Hitung_Unit!$H$5:$H$104)</f>
        <v>0</v>
      </c>
      <c r="D39" s="32" t="n">
        <f aca="false">SUMPRODUCT(Hitung_Unit!$AA$5:$AA$104,Hitung_Unit!$J$5:$J$104,Hitung_Unit!$H$5:$H$104)</f>
        <v>0</v>
      </c>
      <c r="E39" s="32" t="n">
        <f aca="false">SUMPRODUCT(Hitung_Unit!$AA$5:$AA$104,Hitung_Unit!$K$5:$K$104,Hitung_Unit!$H$5:$H$104)</f>
        <v>0</v>
      </c>
      <c r="F39" s="32" t="n">
        <f aca="false">SUMPRODUCT(Hitung_Unit!$AA$5:$AA$104,Hitung_Unit!$L$5:$L$104,Hitung_Unit!$H$5:$H$104)</f>
        <v>0</v>
      </c>
      <c r="G39" s="32" t="n">
        <f aca="false">SUMPRODUCT(Hitung_Unit!$AA$5:$AA$104,Hitung_Unit!$M$5:$M$104,Hitung_Unit!$H$5:$H$104)</f>
        <v>0</v>
      </c>
      <c r="H39" s="32" t="n">
        <f aca="false">SUMPRODUCT(Hitung_Unit!$AA$5:$AA$104,Hitung_Unit!$N$5:$N$104,Hitung_Unit!$H$5:$H$104)</f>
        <v>0</v>
      </c>
      <c r="I39" s="32" t="n">
        <f aca="false">SUMPRODUCT(Hitung_Unit!$AA$5:$AA$104,Hitung_Unit!$O$5:$O$104,Hitung_Unit!$H$5:$H$104)</f>
        <v>0</v>
      </c>
      <c r="J39" s="32" t="n">
        <f aca="false">SUMPRODUCT(Hitung_Unit!$AA$5:$AA$104,Hitung_Unit!$P$5:$P$104,Hitung_Unit!$H$5:$H$104)</f>
        <v>0</v>
      </c>
      <c r="K39" s="32" t="n">
        <f aca="false">SUMPRODUCT(Hitung_Unit!$AA$5:$AA$104,Hitung_Unit!$Q$5:$Q$104,Hitung_Unit!$H$5:$H$104)</f>
        <v>0</v>
      </c>
      <c r="L39" s="32" t="n">
        <f aca="false">SUMPRODUCT(Hitung_Unit!$AA$5:$AA$104,Hitung_Unit!$R$5:$R$104,Hitung_Unit!$H$5:$H$104)</f>
        <v>0</v>
      </c>
      <c r="M39" s="32" t="n">
        <f aca="false">SUMPRODUCT(Hitung_Unit!$AA$5:$AA$104,Hitung_Unit!$S$5:$S$104,Hitung_Unit!$H$5:$H$104)</f>
        <v>0</v>
      </c>
      <c r="N39" s="32" t="n">
        <f aca="false">SUMPRODUCT(Hitung_Unit!$AA$5:$AA$104,Hitung_Unit!$T$5:$T$104,Hitung_Unit!$H$5:$H$104)</f>
        <v>0</v>
      </c>
      <c r="O39" s="32" t="n">
        <f aca="false">SUMPRODUCT(Hitung_Unit!$AA$5:$AA$104,Hitung_Unit!$U$5:$U$104,Hitung_Unit!$H$5:$H$104)</f>
        <v>0</v>
      </c>
      <c r="P39" s="32" t="n">
        <f aca="false">SUMPRODUCT(Hitung_Unit!$AA$5:$AA$104,Hitung_Unit!$V$5:$V$104,Hitung_Unit!$H$5:$H$104)</f>
        <v>0</v>
      </c>
      <c r="Q39" s="32" t="n">
        <f aca="false">SUMPRODUCT(Hitung_Unit!$AA$5:$AA$104,Hitung_Unit!$W$5:$W$104,Hitung_Unit!$H$5:$H$104)</f>
        <v>0</v>
      </c>
      <c r="R39" s="32" t="n">
        <f aca="false">SUMPRODUCT(Hitung_Unit!$AA$5:$AA$104,Hitung_Unit!$X$5:$X$104,Hitung_Unit!$H$5:$H$104)</f>
        <v>0</v>
      </c>
      <c r="S39" s="32" t="n">
        <f aca="false">SUMPRODUCT(Hitung_Unit!$AA$5:$AA$104,Hitung_Unit!$Y$5:$Y$104,Hitung_Unit!$H$5:$H$104)</f>
        <v>0</v>
      </c>
      <c r="T39" s="32" t="n">
        <f aca="false">SUMPRODUCT(Hitung_Unit!$AA$5:$AA$104,Hitung_Unit!$Z$5:$Z$104,Hitung_Unit!$H$5:$H$104)</f>
        <v>0</v>
      </c>
      <c r="U39" s="32" t="n">
        <f aca="false">SUMPRODUCT(Hitung_Unit!$AA$5:$AA$104,Hitung_Unit!$AA$5:$AA$104-1,Hitung_Unit!$H$5:$H$104)</f>
        <v>0</v>
      </c>
      <c r="V39" s="32" t="n">
        <f aca="false">SUMPRODUCT(Hitung_Unit!$AA$5:$AA$104,Hitung_Unit!$AB$5:$AB$104,Hitung_Unit!$H$5:$H$104)</f>
        <v>0</v>
      </c>
      <c r="W39" s="33" t="n">
        <f aca="false">SUM(C39:V39)</f>
        <v>0</v>
      </c>
    </row>
    <row r="40" customFormat="false" ht="15" hidden="false" customHeight="false" outlineLevel="0" collapsed="false">
      <c r="A40" s="15" t="n">
        <v>20</v>
      </c>
      <c r="B40" s="15" t="str">
        <f aca="false">IF(Input!$H$29="","",Input!$H$29)</f>
        <v/>
      </c>
      <c r="C40" s="32" t="n">
        <f aca="false">SUMPRODUCT(Hitung_Unit!$AB$5:$AB$104,Hitung_Unit!$I$5:$I$104,Hitung_Unit!$H$5:$H$104)</f>
        <v>0</v>
      </c>
      <c r="D40" s="32" t="n">
        <f aca="false">SUMPRODUCT(Hitung_Unit!$AB$5:$AB$104,Hitung_Unit!$J$5:$J$104,Hitung_Unit!$H$5:$H$104)</f>
        <v>0</v>
      </c>
      <c r="E40" s="32" t="n">
        <f aca="false">SUMPRODUCT(Hitung_Unit!$AB$5:$AB$104,Hitung_Unit!$K$5:$K$104,Hitung_Unit!$H$5:$H$104)</f>
        <v>0</v>
      </c>
      <c r="F40" s="32" t="n">
        <f aca="false">SUMPRODUCT(Hitung_Unit!$AB$5:$AB$104,Hitung_Unit!$L$5:$L$104,Hitung_Unit!$H$5:$H$104)</f>
        <v>0</v>
      </c>
      <c r="G40" s="32" t="n">
        <f aca="false">SUMPRODUCT(Hitung_Unit!$AB$5:$AB$104,Hitung_Unit!$M$5:$M$104,Hitung_Unit!$H$5:$H$104)</f>
        <v>0</v>
      </c>
      <c r="H40" s="32" t="n">
        <f aca="false">SUMPRODUCT(Hitung_Unit!$AB$5:$AB$104,Hitung_Unit!$N$5:$N$104,Hitung_Unit!$H$5:$H$104)</f>
        <v>0</v>
      </c>
      <c r="I40" s="32" t="n">
        <f aca="false">SUMPRODUCT(Hitung_Unit!$AB$5:$AB$104,Hitung_Unit!$O$5:$O$104,Hitung_Unit!$H$5:$H$104)</f>
        <v>0</v>
      </c>
      <c r="J40" s="32" t="n">
        <f aca="false">SUMPRODUCT(Hitung_Unit!$AB$5:$AB$104,Hitung_Unit!$P$5:$P$104,Hitung_Unit!$H$5:$H$104)</f>
        <v>0</v>
      </c>
      <c r="K40" s="32" t="n">
        <f aca="false">SUMPRODUCT(Hitung_Unit!$AB$5:$AB$104,Hitung_Unit!$Q$5:$Q$104,Hitung_Unit!$H$5:$H$104)</f>
        <v>0</v>
      </c>
      <c r="L40" s="32" t="n">
        <f aca="false">SUMPRODUCT(Hitung_Unit!$AB$5:$AB$104,Hitung_Unit!$R$5:$R$104,Hitung_Unit!$H$5:$H$104)</f>
        <v>0</v>
      </c>
      <c r="M40" s="32" t="n">
        <f aca="false">SUMPRODUCT(Hitung_Unit!$AB$5:$AB$104,Hitung_Unit!$S$5:$S$104,Hitung_Unit!$H$5:$H$104)</f>
        <v>0</v>
      </c>
      <c r="N40" s="32" t="n">
        <f aca="false">SUMPRODUCT(Hitung_Unit!$AB$5:$AB$104,Hitung_Unit!$T$5:$T$104,Hitung_Unit!$H$5:$H$104)</f>
        <v>0</v>
      </c>
      <c r="O40" s="32" t="n">
        <f aca="false">SUMPRODUCT(Hitung_Unit!$AB$5:$AB$104,Hitung_Unit!$U$5:$U$104,Hitung_Unit!$H$5:$H$104)</f>
        <v>0</v>
      </c>
      <c r="P40" s="32" t="n">
        <f aca="false">SUMPRODUCT(Hitung_Unit!$AB$5:$AB$104,Hitung_Unit!$V$5:$V$104,Hitung_Unit!$H$5:$H$104)</f>
        <v>0</v>
      </c>
      <c r="Q40" s="32" t="n">
        <f aca="false">SUMPRODUCT(Hitung_Unit!$AB$5:$AB$104,Hitung_Unit!$W$5:$W$104,Hitung_Unit!$H$5:$H$104)</f>
        <v>0</v>
      </c>
      <c r="R40" s="32" t="n">
        <f aca="false">SUMPRODUCT(Hitung_Unit!$AB$5:$AB$104,Hitung_Unit!$X$5:$X$104,Hitung_Unit!$H$5:$H$104)</f>
        <v>0</v>
      </c>
      <c r="S40" s="32" t="n">
        <f aca="false">SUMPRODUCT(Hitung_Unit!$AB$5:$AB$104,Hitung_Unit!$Y$5:$Y$104,Hitung_Unit!$H$5:$H$104)</f>
        <v>0</v>
      </c>
      <c r="T40" s="32" t="n">
        <f aca="false">SUMPRODUCT(Hitung_Unit!$AB$5:$AB$104,Hitung_Unit!$Z$5:$Z$104,Hitung_Unit!$H$5:$H$104)</f>
        <v>0</v>
      </c>
      <c r="U40" s="32" t="n">
        <f aca="false">SUMPRODUCT(Hitung_Unit!$AB$5:$AB$104,Hitung_Unit!$AA$5:$AA$104,Hitung_Unit!$H$5:$H$104)</f>
        <v>0</v>
      </c>
      <c r="V40" s="32" t="n">
        <f aca="false">SUMPRODUCT(Hitung_Unit!$AB$5:$AB$104,Hitung_Unit!$AB$5:$AB$104-1,Hitung_Unit!$H$5:$H$104)</f>
        <v>0</v>
      </c>
      <c r="W40" s="33" t="n">
        <f aca="false">SUM(C40:V40)</f>
        <v>0</v>
      </c>
    </row>
    <row r="41" customFormat="false" ht="15" hidden="false" customHeight="false" outlineLevel="0" collapsed="false">
      <c r="A41" s="15" t="s">
        <v>145</v>
      </c>
      <c r="B41" s="15" t="s">
        <v>146</v>
      </c>
      <c r="C41" s="33" t="n">
        <f aca="false">SUM(C21:C40)</f>
        <v>2</v>
      </c>
      <c r="D41" s="33" t="n">
        <f aca="false">SUM(D21:D40)</f>
        <v>4</v>
      </c>
      <c r="E41" s="33" t="n">
        <f aca="false">SUM(E21:E40)</f>
        <v>6</v>
      </c>
      <c r="F41" s="33" t="n">
        <f aca="false">SUM(F21:F40)</f>
        <v>6</v>
      </c>
      <c r="G41" s="33" t="n">
        <f aca="false">SUM(G21:G40)</f>
        <v>6</v>
      </c>
      <c r="H41" s="33" t="n">
        <f aca="false">SUM(H21:H40)</f>
        <v>0</v>
      </c>
      <c r="I41" s="33" t="n">
        <f aca="false">SUM(I21:I40)</f>
        <v>0</v>
      </c>
      <c r="J41" s="33" t="n">
        <f aca="false">SUM(J21:J40)</f>
        <v>0</v>
      </c>
      <c r="K41" s="33" t="n">
        <f aca="false">SUM(K21:K40)</f>
        <v>0</v>
      </c>
      <c r="L41" s="33" t="n">
        <f aca="false">SUM(L21:L40)</f>
        <v>0</v>
      </c>
      <c r="M41" s="33" t="n">
        <f aca="false">SUM(M21:M40)</f>
        <v>0</v>
      </c>
      <c r="N41" s="33" t="n">
        <f aca="false">SUM(N21:N40)</f>
        <v>0</v>
      </c>
      <c r="O41" s="33" t="n">
        <f aca="false">SUM(O21:O40)</f>
        <v>0</v>
      </c>
      <c r="P41" s="33" t="n">
        <f aca="false">SUM(P21:P40)</f>
        <v>0</v>
      </c>
      <c r="Q41" s="33" t="n">
        <f aca="false">SUM(Q21:Q40)</f>
        <v>0</v>
      </c>
      <c r="R41" s="33" t="n">
        <f aca="false">SUM(R21:R40)</f>
        <v>0</v>
      </c>
      <c r="S41" s="33" t="n">
        <f aca="false">SUM(S21:S40)</f>
        <v>0</v>
      </c>
      <c r="T41" s="33" t="n">
        <f aca="false">SUM(T21:T40)</f>
        <v>0</v>
      </c>
      <c r="U41" s="33" t="n">
        <f aca="false">SUM(U21:U40)</f>
        <v>0</v>
      </c>
      <c r="V41" s="33" t="n">
        <f aca="false">SUM(V21:V40)</f>
        <v>0</v>
      </c>
      <c r="W41" s="34" t="n">
        <f aca="false">SUM(W21:W40)</f>
        <v>24</v>
      </c>
    </row>
    <row r="44" customFormat="false" ht="15" hidden="false" customHeight="false" outlineLevel="0" collapsed="false">
      <c r="A44" s="3" t="s">
        <v>147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customFormat="false" ht="15" hidden="false" customHeight="false" outlineLevel="0" collapsed="false">
      <c r="A45" s="15" t="s">
        <v>142</v>
      </c>
      <c r="B45" s="15" t="s">
        <v>143</v>
      </c>
      <c r="C45" s="15" t="n">
        <v>1</v>
      </c>
      <c r="D45" s="15" t="n">
        <v>2</v>
      </c>
      <c r="E45" s="15" t="n">
        <v>3</v>
      </c>
      <c r="F45" s="15" t="n">
        <v>4</v>
      </c>
      <c r="G45" s="15" t="n">
        <v>5</v>
      </c>
      <c r="H45" s="15" t="n">
        <v>6</v>
      </c>
      <c r="I45" s="15" t="n">
        <v>7</v>
      </c>
      <c r="J45" s="15" t="n">
        <v>8</v>
      </c>
      <c r="K45" s="15" t="n">
        <v>9</v>
      </c>
      <c r="L45" s="15" t="n">
        <v>10</v>
      </c>
      <c r="M45" s="15" t="n">
        <v>11</v>
      </c>
      <c r="N45" s="15" t="n">
        <v>12</v>
      </c>
      <c r="O45" s="15" t="n">
        <v>13</v>
      </c>
      <c r="P45" s="15" t="n">
        <v>14</v>
      </c>
      <c r="Q45" s="15" t="n">
        <v>15</v>
      </c>
      <c r="R45" s="15" t="n">
        <v>16</v>
      </c>
      <c r="S45" s="15" t="n">
        <v>17</v>
      </c>
      <c r="T45" s="15" t="n">
        <v>18</v>
      </c>
      <c r="U45" s="15" t="n">
        <v>19</v>
      </c>
      <c r="V45" s="15" t="n">
        <v>20</v>
      </c>
    </row>
    <row r="46" customFormat="false" ht="15" hidden="false" customHeight="false" outlineLevel="0" collapsed="false">
      <c r="A46" s="15"/>
      <c r="B46" s="15"/>
      <c r="C46" s="15" t="str">
        <f aca="false">IF(Input!$H$10="","",Input!$H$10)</f>
        <v>K1</v>
      </c>
      <c r="D46" s="15" t="str">
        <f aca="false">IF(Input!$H$11="","",Input!$H$11)</f>
        <v>K2</v>
      </c>
      <c r="E46" s="15" t="str">
        <f aca="false">IF(Input!$H$12="","",Input!$H$12)</f>
        <v>K3</v>
      </c>
      <c r="F46" s="15" t="str">
        <f aca="false">IF(Input!$H$13="","",Input!$H$13)</f>
        <v>K4</v>
      </c>
      <c r="G46" s="15" t="str">
        <f aca="false">IF(Input!$H$14="","",Input!$H$14)</f>
        <v>K5</v>
      </c>
      <c r="H46" s="15" t="str">
        <f aca="false">IF(Input!$H$15="","",Input!$H$15)</f>
        <v/>
      </c>
      <c r="I46" s="15" t="str">
        <f aca="false">IF(Input!$H$16="","",Input!$H$16)</f>
        <v/>
      </c>
      <c r="J46" s="15" t="str">
        <f aca="false">IF(Input!$H$17="","",Input!$H$17)</f>
        <v/>
      </c>
      <c r="K46" s="15" t="str">
        <f aca="false">IF(Input!$H$18="","",Input!$H$18)</f>
        <v/>
      </c>
      <c r="L46" s="15" t="str">
        <f aca="false">IF(Input!$H$19="","",Input!$H$19)</f>
        <v/>
      </c>
      <c r="M46" s="15" t="str">
        <f aca="false">IF(Input!$H$20="","",Input!$H$20)</f>
        <v/>
      </c>
      <c r="N46" s="15" t="str">
        <f aca="false">IF(Input!$H$21="","",Input!$H$21)</f>
        <v/>
      </c>
      <c r="O46" s="15" t="str">
        <f aca="false">IF(Input!$H$22="","",Input!$H$22)</f>
        <v/>
      </c>
      <c r="P46" s="15" t="str">
        <f aca="false">IF(Input!$H$23="","",Input!$H$23)</f>
        <v/>
      </c>
      <c r="Q46" s="15" t="str">
        <f aca="false">IF(Input!$H$24="","",Input!$H$24)</f>
        <v/>
      </c>
      <c r="R46" s="15" t="str">
        <f aca="false">IF(Input!$H$25="","",Input!$H$25)</f>
        <v/>
      </c>
      <c r="S46" s="15" t="str">
        <f aca="false">IF(Input!$H$26="","",Input!$H$26)</f>
        <v/>
      </c>
      <c r="T46" s="15" t="str">
        <f aca="false">IF(Input!$H$27="","",Input!$H$27)</f>
        <v/>
      </c>
      <c r="U46" s="15" t="str">
        <f aca="false">IF(Input!$H$28="","",Input!$H$28)</f>
        <v/>
      </c>
      <c r="V46" s="15" t="str">
        <f aca="false">IF(Input!$H$29="","",Input!$H$29)</f>
        <v/>
      </c>
    </row>
    <row r="47" customFormat="false" ht="15" hidden="false" customHeight="false" outlineLevel="0" collapsed="false">
      <c r="A47" s="15" t="n">
        <v>1</v>
      </c>
      <c r="B47" s="15" t="str">
        <f aca="false">IF(Input!$H$10="","",Input!$H$10)</f>
        <v>K1</v>
      </c>
      <c r="C47" s="32" t="n">
        <f aca="false">IF($W$41&gt;1,IF($A47=C$45,INDEX($W$21:$W$40,$A47)*(INDEX($W$21:$W$40,$A47)-1),INDEX($W$21:$W$40,$A47)*INDEX($W$21:$W$40,C$45))/($W$41-1),0)</f>
        <v>0.0869565217391304</v>
      </c>
      <c r="D47" s="32" t="n">
        <f aca="false">IF($W$41&gt;1,IF($A47=D$45,INDEX($W$21:$W$40,$A47)*(INDEX($W$21:$W$40,$A47)-1),INDEX($W$21:$W$40,$A47)*INDEX($W$21:$W$40,D$45))/($W$41-1),0)</f>
        <v>0.347826086956522</v>
      </c>
      <c r="E47" s="32" t="n">
        <f aca="false">IF($W$41&gt;1,IF($A47=E$45,INDEX($W$21:$W$40,$A47)*(INDEX($W$21:$W$40,$A47)-1),INDEX($W$21:$W$40,$A47)*INDEX($W$21:$W$40,E$45))/($W$41-1),0)</f>
        <v>0.521739130434783</v>
      </c>
      <c r="F47" s="32" t="n">
        <f aca="false">IF($W$41&gt;1,IF($A47=F$45,INDEX($W$21:$W$40,$A47)*(INDEX($W$21:$W$40,$A47)-1),INDEX($W$21:$W$40,$A47)*INDEX($W$21:$W$40,F$45))/($W$41-1),0)</f>
        <v>0.521739130434783</v>
      </c>
      <c r="G47" s="32" t="n">
        <f aca="false">IF($W$41&gt;1,IF($A47=G$45,INDEX($W$21:$W$40,$A47)*(INDEX($W$21:$W$40,$A47)-1),INDEX($W$21:$W$40,$A47)*INDEX($W$21:$W$40,G$45))/($W$41-1),0)</f>
        <v>0.521739130434783</v>
      </c>
      <c r="H47" s="32" t="n">
        <f aca="false">IF($W$41&gt;1,IF($A47=H$45,INDEX($W$21:$W$40,$A47)*(INDEX($W$21:$W$40,$A47)-1),INDEX($W$21:$W$40,$A47)*INDEX($W$21:$W$40,H$45))/($W$41-1),0)</f>
        <v>0</v>
      </c>
      <c r="I47" s="32" t="n">
        <f aca="false">IF($W$41&gt;1,IF($A47=I$45,INDEX($W$21:$W$40,$A47)*(INDEX($W$21:$W$40,$A47)-1),INDEX($W$21:$W$40,$A47)*INDEX($W$21:$W$40,I$45))/($W$41-1),0)</f>
        <v>0</v>
      </c>
      <c r="J47" s="32" t="n">
        <f aca="false">IF($W$41&gt;1,IF($A47=J$45,INDEX($W$21:$W$40,$A47)*(INDEX($W$21:$W$40,$A47)-1),INDEX($W$21:$W$40,$A47)*INDEX($W$21:$W$40,J$45))/($W$41-1),0)</f>
        <v>0</v>
      </c>
      <c r="K47" s="32" t="n">
        <f aca="false">IF($W$41&gt;1,IF($A47=K$45,INDEX($W$21:$W$40,$A47)*(INDEX($W$21:$W$40,$A47)-1),INDEX($W$21:$W$40,$A47)*INDEX($W$21:$W$40,K$45))/($W$41-1),0)</f>
        <v>0</v>
      </c>
      <c r="L47" s="32" t="n">
        <f aca="false">IF($W$41&gt;1,IF($A47=L$45,INDEX($W$21:$W$40,$A47)*(INDEX($W$21:$W$40,$A47)-1),INDEX($W$21:$W$40,$A47)*INDEX($W$21:$W$40,L$45))/($W$41-1),0)</f>
        <v>0</v>
      </c>
      <c r="M47" s="32" t="n">
        <f aca="false">IF($W$41&gt;1,IF($A47=M$45,INDEX($W$21:$W$40,$A47)*(INDEX($W$21:$W$40,$A47)-1),INDEX($W$21:$W$40,$A47)*INDEX($W$21:$W$40,M$45))/($W$41-1),0)</f>
        <v>0</v>
      </c>
      <c r="N47" s="32" t="n">
        <f aca="false">IF($W$41&gt;1,IF($A47=N$45,INDEX($W$21:$W$40,$A47)*(INDEX($W$21:$W$40,$A47)-1),INDEX($W$21:$W$40,$A47)*INDEX($W$21:$W$40,N$45))/($W$41-1),0)</f>
        <v>0</v>
      </c>
      <c r="O47" s="32" t="n">
        <f aca="false">IF($W$41&gt;1,IF($A47=O$45,INDEX($W$21:$W$40,$A47)*(INDEX($W$21:$W$40,$A47)-1),INDEX($W$21:$W$40,$A47)*INDEX($W$21:$W$40,O$45))/($W$41-1),0)</f>
        <v>0</v>
      </c>
      <c r="P47" s="32" t="n">
        <f aca="false">IF($W$41&gt;1,IF($A47=P$45,INDEX($W$21:$W$40,$A47)*(INDEX($W$21:$W$40,$A47)-1),INDEX($W$21:$W$40,$A47)*INDEX($W$21:$W$40,P$45))/($W$41-1),0)</f>
        <v>0</v>
      </c>
      <c r="Q47" s="32" t="n">
        <f aca="false">IF($W$41&gt;1,IF($A47=Q$45,INDEX($W$21:$W$40,$A47)*(INDEX($W$21:$W$40,$A47)-1),INDEX($W$21:$W$40,$A47)*INDEX($W$21:$W$40,Q$45))/($W$41-1),0)</f>
        <v>0</v>
      </c>
      <c r="R47" s="32" t="n">
        <f aca="false">IF($W$41&gt;1,IF($A47=R$45,INDEX($W$21:$W$40,$A47)*(INDEX($W$21:$W$40,$A47)-1),INDEX($W$21:$W$40,$A47)*INDEX($W$21:$W$40,R$45))/($W$41-1),0)</f>
        <v>0</v>
      </c>
      <c r="S47" s="32" t="n">
        <f aca="false">IF($W$41&gt;1,IF($A47=S$45,INDEX($W$21:$W$40,$A47)*(INDEX($W$21:$W$40,$A47)-1),INDEX($W$21:$W$40,$A47)*INDEX($W$21:$W$40,S$45))/($W$41-1),0)</f>
        <v>0</v>
      </c>
      <c r="T47" s="32" t="n">
        <f aca="false">IF($W$41&gt;1,IF($A47=T$45,INDEX($W$21:$W$40,$A47)*(INDEX($W$21:$W$40,$A47)-1),INDEX($W$21:$W$40,$A47)*INDEX($W$21:$W$40,T$45))/($W$41-1),0)</f>
        <v>0</v>
      </c>
      <c r="U47" s="32" t="n">
        <f aca="false">IF($W$41&gt;1,IF($A47=U$45,INDEX($W$21:$W$40,$A47)*(INDEX($W$21:$W$40,$A47)-1),INDEX($W$21:$W$40,$A47)*INDEX($W$21:$W$40,U$45))/($W$41-1),0)</f>
        <v>0</v>
      </c>
      <c r="V47" s="32" t="n">
        <f aca="false">IF($W$41&gt;1,IF($A47=V$45,INDEX($W$21:$W$40,$A47)*(INDEX($W$21:$W$40,$A47)-1),INDEX($W$21:$W$40,$A47)*INDEX($W$21:$W$40,V$45))/($W$41-1),0)</f>
        <v>0</v>
      </c>
    </row>
    <row r="48" customFormat="false" ht="15" hidden="false" customHeight="false" outlineLevel="0" collapsed="false">
      <c r="A48" s="15" t="n">
        <v>2</v>
      </c>
      <c r="B48" s="15" t="str">
        <f aca="false">IF(Input!$H$11="","",Input!$H$11)</f>
        <v>K2</v>
      </c>
      <c r="C48" s="32" t="n">
        <f aca="false">IF($W$41&gt;1,IF($A48=C$45,INDEX($W$21:$W$40,$A48)*(INDEX($W$21:$W$40,$A48)-1),INDEX($W$21:$W$40,$A48)*INDEX($W$21:$W$40,C$45))/($W$41-1),0)</f>
        <v>0.347826086956522</v>
      </c>
      <c r="D48" s="32" t="n">
        <f aca="false">IF($W$41&gt;1,IF($A48=D$45,INDEX($W$21:$W$40,$A48)*(INDEX($W$21:$W$40,$A48)-1),INDEX($W$21:$W$40,$A48)*INDEX($W$21:$W$40,D$45))/($W$41-1),0)</f>
        <v>0.521739130434783</v>
      </c>
      <c r="E48" s="32" t="n">
        <f aca="false">IF($W$41&gt;1,IF($A48=E$45,INDEX($W$21:$W$40,$A48)*(INDEX($W$21:$W$40,$A48)-1),INDEX($W$21:$W$40,$A48)*INDEX($W$21:$W$40,E$45))/($W$41-1),0)</f>
        <v>1.04347826086957</v>
      </c>
      <c r="F48" s="32" t="n">
        <f aca="false">IF($W$41&gt;1,IF($A48=F$45,INDEX($W$21:$W$40,$A48)*(INDEX($W$21:$W$40,$A48)-1),INDEX($W$21:$W$40,$A48)*INDEX($W$21:$W$40,F$45))/($W$41-1),0)</f>
        <v>1.04347826086957</v>
      </c>
      <c r="G48" s="32" t="n">
        <f aca="false">IF($W$41&gt;1,IF($A48=G$45,INDEX($W$21:$W$40,$A48)*(INDEX($W$21:$W$40,$A48)-1),INDEX($W$21:$W$40,$A48)*INDEX($W$21:$W$40,G$45))/($W$41-1),0)</f>
        <v>1.04347826086957</v>
      </c>
      <c r="H48" s="32" t="n">
        <f aca="false">IF($W$41&gt;1,IF($A48=H$45,INDEX($W$21:$W$40,$A48)*(INDEX($W$21:$W$40,$A48)-1),INDEX($W$21:$W$40,$A48)*INDEX($W$21:$W$40,H$45))/($W$41-1),0)</f>
        <v>0</v>
      </c>
      <c r="I48" s="32" t="n">
        <f aca="false">IF($W$41&gt;1,IF($A48=I$45,INDEX($W$21:$W$40,$A48)*(INDEX($W$21:$W$40,$A48)-1),INDEX($W$21:$W$40,$A48)*INDEX($W$21:$W$40,I$45))/($W$41-1),0)</f>
        <v>0</v>
      </c>
      <c r="J48" s="32" t="n">
        <f aca="false">IF($W$41&gt;1,IF($A48=J$45,INDEX($W$21:$W$40,$A48)*(INDEX($W$21:$W$40,$A48)-1),INDEX($W$21:$W$40,$A48)*INDEX($W$21:$W$40,J$45))/($W$41-1),0)</f>
        <v>0</v>
      </c>
      <c r="K48" s="32" t="n">
        <f aca="false">IF($W$41&gt;1,IF($A48=K$45,INDEX($W$21:$W$40,$A48)*(INDEX($W$21:$W$40,$A48)-1),INDEX($W$21:$W$40,$A48)*INDEX($W$21:$W$40,K$45))/($W$41-1),0)</f>
        <v>0</v>
      </c>
      <c r="L48" s="32" t="n">
        <f aca="false">IF($W$41&gt;1,IF($A48=L$45,INDEX($W$21:$W$40,$A48)*(INDEX($W$21:$W$40,$A48)-1),INDEX($W$21:$W$40,$A48)*INDEX($W$21:$W$40,L$45))/($W$41-1),0)</f>
        <v>0</v>
      </c>
      <c r="M48" s="32" t="n">
        <f aca="false">IF($W$41&gt;1,IF($A48=M$45,INDEX($W$21:$W$40,$A48)*(INDEX($W$21:$W$40,$A48)-1),INDEX($W$21:$W$40,$A48)*INDEX($W$21:$W$40,M$45))/($W$41-1),0)</f>
        <v>0</v>
      </c>
      <c r="N48" s="32" t="n">
        <f aca="false">IF($W$41&gt;1,IF($A48=N$45,INDEX($W$21:$W$40,$A48)*(INDEX($W$21:$W$40,$A48)-1),INDEX($W$21:$W$40,$A48)*INDEX($W$21:$W$40,N$45))/($W$41-1),0)</f>
        <v>0</v>
      </c>
      <c r="O48" s="32" t="n">
        <f aca="false">IF($W$41&gt;1,IF($A48=O$45,INDEX($W$21:$W$40,$A48)*(INDEX($W$21:$W$40,$A48)-1),INDEX($W$21:$W$40,$A48)*INDEX($W$21:$W$40,O$45))/($W$41-1),0)</f>
        <v>0</v>
      </c>
      <c r="P48" s="32" t="n">
        <f aca="false">IF($W$41&gt;1,IF($A48=P$45,INDEX($W$21:$W$40,$A48)*(INDEX($W$21:$W$40,$A48)-1),INDEX($W$21:$W$40,$A48)*INDEX($W$21:$W$40,P$45))/($W$41-1),0)</f>
        <v>0</v>
      </c>
      <c r="Q48" s="32" t="n">
        <f aca="false">IF($W$41&gt;1,IF($A48=Q$45,INDEX($W$21:$W$40,$A48)*(INDEX($W$21:$W$40,$A48)-1),INDEX($W$21:$W$40,$A48)*INDEX($W$21:$W$40,Q$45))/($W$41-1),0)</f>
        <v>0</v>
      </c>
      <c r="R48" s="32" t="n">
        <f aca="false">IF($W$41&gt;1,IF($A48=R$45,INDEX($W$21:$W$40,$A48)*(INDEX($W$21:$W$40,$A48)-1),INDEX($W$21:$W$40,$A48)*INDEX($W$21:$W$40,R$45))/($W$41-1),0)</f>
        <v>0</v>
      </c>
      <c r="S48" s="32" t="n">
        <f aca="false">IF($W$41&gt;1,IF($A48=S$45,INDEX($W$21:$W$40,$A48)*(INDEX($W$21:$W$40,$A48)-1),INDEX($W$21:$W$40,$A48)*INDEX($W$21:$W$40,S$45))/($W$41-1),0)</f>
        <v>0</v>
      </c>
      <c r="T48" s="32" t="n">
        <f aca="false">IF($W$41&gt;1,IF($A48=T$45,INDEX($W$21:$W$40,$A48)*(INDEX($W$21:$W$40,$A48)-1),INDEX($W$21:$W$40,$A48)*INDEX($W$21:$W$40,T$45))/($W$41-1),0)</f>
        <v>0</v>
      </c>
      <c r="U48" s="32" t="n">
        <f aca="false">IF($W$41&gt;1,IF($A48=U$45,INDEX($W$21:$W$40,$A48)*(INDEX($W$21:$W$40,$A48)-1),INDEX($W$21:$W$40,$A48)*INDEX($W$21:$W$40,U$45))/($W$41-1),0)</f>
        <v>0</v>
      </c>
      <c r="V48" s="32" t="n">
        <f aca="false">IF($W$41&gt;1,IF($A48=V$45,INDEX($W$21:$W$40,$A48)*(INDEX($W$21:$W$40,$A48)-1),INDEX($W$21:$W$40,$A48)*INDEX($W$21:$W$40,V$45))/($W$41-1),0)</f>
        <v>0</v>
      </c>
    </row>
    <row r="49" customFormat="false" ht="15" hidden="false" customHeight="false" outlineLevel="0" collapsed="false">
      <c r="A49" s="15" t="n">
        <v>3</v>
      </c>
      <c r="B49" s="15" t="str">
        <f aca="false">IF(Input!$H$12="","",Input!$H$12)</f>
        <v>K3</v>
      </c>
      <c r="C49" s="32" t="n">
        <f aca="false">IF($W$41&gt;1,IF($A49=C$45,INDEX($W$21:$W$40,$A49)*(INDEX($W$21:$W$40,$A49)-1),INDEX($W$21:$W$40,$A49)*INDEX($W$21:$W$40,C$45))/($W$41-1),0)</f>
        <v>0.521739130434783</v>
      </c>
      <c r="D49" s="32" t="n">
        <f aca="false">IF($W$41&gt;1,IF($A49=D$45,INDEX($W$21:$W$40,$A49)*(INDEX($W$21:$W$40,$A49)-1),INDEX($W$21:$W$40,$A49)*INDEX($W$21:$W$40,D$45))/($W$41-1),0)</f>
        <v>1.04347826086957</v>
      </c>
      <c r="E49" s="32" t="n">
        <f aca="false">IF($W$41&gt;1,IF($A49=E$45,INDEX($W$21:$W$40,$A49)*(INDEX($W$21:$W$40,$A49)-1),INDEX($W$21:$W$40,$A49)*INDEX($W$21:$W$40,E$45))/($W$41-1),0)</f>
        <v>1.30434782608696</v>
      </c>
      <c r="F49" s="32" t="n">
        <f aca="false">IF($W$41&gt;1,IF($A49=F$45,INDEX($W$21:$W$40,$A49)*(INDEX($W$21:$W$40,$A49)-1),INDEX($W$21:$W$40,$A49)*INDEX($W$21:$W$40,F$45))/($W$41-1),0)</f>
        <v>1.56521739130435</v>
      </c>
      <c r="G49" s="32" t="n">
        <f aca="false">IF($W$41&gt;1,IF($A49=G$45,INDEX($W$21:$W$40,$A49)*(INDEX($W$21:$W$40,$A49)-1),INDEX($W$21:$W$40,$A49)*INDEX($W$21:$W$40,G$45))/($W$41-1),0)</f>
        <v>1.56521739130435</v>
      </c>
      <c r="H49" s="32" t="n">
        <f aca="false">IF($W$41&gt;1,IF($A49=H$45,INDEX($W$21:$W$40,$A49)*(INDEX($W$21:$W$40,$A49)-1),INDEX($W$21:$W$40,$A49)*INDEX($W$21:$W$40,H$45))/($W$41-1),0)</f>
        <v>0</v>
      </c>
      <c r="I49" s="32" t="n">
        <f aca="false">IF($W$41&gt;1,IF($A49=I$45,INDEX($W$21:$W$40,$A49)*(INDEX($W$21:$W$40,$A49)-1),INDEX($W$21:$W$40,$A49)*INDEX($W$21:$W$40,I$45))/($W$41-1),0)</f>
        <v>0</v>
      </c>
      <c r="J49" s="32" t="n">
        <f aca="false">IF($W$41&gt;1,IF($A49=J$45,INDEX($W$21:$W$40,$A49)*(INDEX($W$21:$W$40,$A49)-1),INDEX($W$21:$W$40,$A49)*INDEX($W$21:$W$40,J$45))/($W$41-1),0)</f>
        <v>0</v>
      </c>
      <c r="K49" s="32" t="n">
        <f aca="false">IF($W$41&gt;1,IF($A49=K$45,INDEX($W$21:$W$40,$A49)*(INDEX($W$21:$W$40,$A49)-1),INDEX($W$21:$W$40,$A49)*INDEX($W$21:$W$40,K$45))/($W$41-1),0)</f>
        <v>0</v>
      </c>
      <c r="L49" s="32" t="n">
        <f aca="false">IF($W$41&gt;1,IF($A49=L$45,INDEX($W$21:$W$40,$A49)*(INDEX($W$21:$W$40,$A49)-1),INDEX($W$21:$W$40,$A49)*INDEX($W$21:$W$40,L$45))/($W$41-1),0)</f>
        <v>0</v>
      </c>
      <c r="M49" s="32" t="n">
        <f aca="false">IF($W$41&gt;1,IF($A49=M$45,INDEX($W$21:$W$40,$A49)*(INDEX($W$21:$W$40,$A49)-1),INDEX($W$21:$W$40,$A49)*INDEX($W$21:$W$40,M$45))/($W$41-1),0)</f>
        <v>0</v>
      </c>
      <c r="N49" s="32" t="n">
        <f aca="false">IF($W$41&gt;1,IF($A49=N$45,INDEX($W$21:$W$40,$A49)*(INDEX($W$21:$W$40,$A49)-1),INDEX($W$21:$W$40,$A49)*INDEX($W$21:$W$40,N$45))/($W$41-1),0)</f>
        <v>0</v>
      </c>
      <c r="O49" s="32" t="n">
        <f aca="false">IF($W$41&gt;1,IF($A49=O$45,INDEX($W$21:$W$40,$A49)*(INDEX($W$21:$W$40,$A49)-1),INDEX($W$21:$W$40,$A49)*INDEX($W$21:$W$40,O$45))/($W$41-1),0)</f>
        <v>0</v>
      </c>
      <c r="P49" s="32" t="n">
        <f aca="false">IF($W$41&gt;1,IF($A49=P$45,INDEX($W$21:$W$40,$A49)*(INDEX($W$21:$W$40,$A49)-1),INDEX($W$21:$W$40,$A49)*INDEX($W$21:$W$40,P$45))/($W$41-1),0)</f>
        <v>0</v>
      </c>
      <c r="Q49" s="32" t="n">
        <f aca="false">IF($W$41&gt;1,IF($A49=Q$45,INDEX($W$21:$W$40,$A49)*(INDEX($W$21:$W$40,$A49)-1),INDEX($W$21:$W$40,$A49)*INDEX($W$21:$W$40,Q$45))/($W$41-1),0)</f>
        <v>0</v>
      </c>
      <c r="R49" s="32" t="n">
        <f aca="false">IF($W$41&gt;1,IF($A49=R$45,INDEX($W$21:$W$40,$A49)*(INDEX($W$21:$W$40,$A49)-1),INDEX($W$21:$W$40,$A49)*INDEX($W$21:$W$40,R$45))/($W$41-1),0)</f>
        <v>0</v>
      </c>
      <c r="S49" s="32" t="n">
        <f aca="false">IF($W$41&gt;1,IF($A49=S$45,INDEX($W$21:$W$40,$A49)*(INDEX($W$21:$W$40,$A49)-1),INDEX($W$21:$W$40,$A49)*INDEX($W$21:$W$40,S$45))/($W$41-1),0)</f>
        <v>0</v>
      </c>
      <c r="T49" s="32" t="n">
        <f aca="false">IF($W$41&gt;1,IF($A49=T$45,INDEX($W$21:$W$40,$A49)*(INDEX($W$21:$W$40,$A49)-1),INDEX($W$21:$W$40,$A49)*INDEX($W$21:$W$40,T$45))/($W$41-1),0)</f>
        <v>0</v>
      </c>
      <c r="U49" s="32" t="n">
        <f aca="false">IF($W$41&gt;1,IF($A49=U$45,INDEX($W$21:$W$40,$A49)*(INDEX($W$21:$W$40,$A49)-1),INDEX($W$21:$W$40,$A49)*INDEX($W$21:$W$40,U$45))/($W$41-1),0)</f>
        <v>0</v>
      </c>
      <c r="V49" s="32" t="n">
        <f aca="false">IF($W$41&gt;1,IF($A49=V$45,INDEX($W$21:$W$40,$A49)*(INDEX($W$21:$W$40,$A49)-1),INDEX($W$21:$W$40,$A49)*INDEX($W$21:$W$40,V$45))/($W$41-1),0)</f>
        <v>0</v>
      </c>
    </row>
    <row r="50" customFormat="false" ht="15" hidden="false" customHeight="false" outlineLevel="0" collapsed="false">
      <c r="A50" s="15" t="n">
        <v>4</v>
      </c>
      <c r="B50" s="15" t="str">
        <f aca="false">IF(Input!$H$13="","",Input!$H$13)</f>
        <v>K4</v>
      </c>
      <c r="C50" s="32" t="n">
        <f aca="false">IF($W$41&gt;1,IF($A50=C$45,INDEX($W$21:$W$40,$A50)*(INDEX($W$21:$W$40,$A50)-1),INDEX($W$21:$W$40,$A50)*INDEX($W$21:$W$40,C$45))/($W$41-1),0)</f>
        <v>0.521739130434783</v>
      </c>
      <c r="D50" s="32" t="n">
        <f aca="false">IF($W$41&gt;1,IF($A50=D$45,INDEX($W$21:$W$40,$A50)*(INDEX($W$21:$W$40,$A50)-1),INDEX($W$21:$W$40,$A50)*INDEX($W$21:$W$40,D$45))/($W$41-1),0)</f>
        <v>1.04347826086957</v>
      </c>
      <c r="E50" s="32" t="n">
        <f aca="false">IF($W$41&gt;1,IF($A50=E$45,INDEX($W$21:$W$40,$A50)*(INDEX($W$21:$W$40,$A50)-1),INDEX($W$21:$W$40,$A50)*INDEX($W$21:$W$40,E$45))/($W$41-1),0)</f>
        <v>1.56521739130435</v>
      </c>
      <c r="F50" s="32" t="n">
        <f aca="false">IF($W$41&gt;1,IF($A50=F$45,INDEX($W$21:$W$40,$A50)*(INDEX($W$21:$W$40,$A50)-1),INDEX($W$21:$W$40,$A50)*INDEX($W$21:$W$40,F$45))/($W$41-1),0)</f>
        <v>1.30434782608696</v>
      </c>
      <c r="G50" s="32" t="n">
        <f aca="false">IF($W$41&gt;1,IF($A50=G$45,INDEX($W$21:$W$40,$A50)*(INDEX($W$21:$W$40,$A50)-1),INDEX($W$21:$W$40,$A50)*INDEX($W$21:$W$40,G$45))/($W$41-1),0)</f>
        <v>1.56521739130435</v>
      </c>
      <c r="H50" s="32" t="n">
        <f aca="false">IF($W$41&gt;1,IF($A50=H$45,INDEX($W$21:$W$40,$A50)*(INDEX($W$21:$W$40,$A50)-1),INDEX($W$21:$W$40,$A50)*INDEX($W$21:$W$40,H$45))/($W$41-1),0)</f>
        <v>0</v>
      </c>
      <c r="I50" s="32" t="n">
        <f aca="false">IF($W$41&gt;1,IF($A50=I$45,INDEX($W$21:$W$40,$A50)*(INDEX($W$21:$W$40,$A50)-1),INDEX($W$21:$W$40,$A50)*INDEX($W$21:$W$40,I$45))/($W$41-1),0)</f>
        <v>0</v>
      </c>
      <c r="J50" s="32" t="n">
        <f aca="false">IF($W$41&gt;1,IF($A50=J$45,INDEX($W$21:$W$40,$A50)*(INDEX($W$21:$W$40,$A50)-1),INDEX($W$21:$W$40,$A50)*INDEX($W$21:$W$40,J$45))/($W$41-1),0)</f>
        <v>0</v>
      </c>
      <c r="K50" s="32" t="n">
        <f aca="false">IF($W$41&gt;1,IF($A50=K$45,INDEX($W$21:$W$40,$A50)*(INDEX($W$21:$W$40,$A50)-1),INDEX($W$21:$W$40,$A50)*INDEX($W$21:$W$40,K$45))/($W$41-1),0)</f>
        <v>0</v>
      </c>
      <c r="L50" s="32" t="n">
        <f aca="false">IF($W$41&gt;1,IF($A50=L$45,INDEX($W$21:$W$40,$A50)*(INDEX($W$21:$W$40,$A50)-1),INDEX($W$21:$W$40,$A50)*INDEX($W$21:$W$40,L$45))/($W$41-1),0)</f>
        <v>0</v>
      </c>
      <c r="M50" s="32" t="n">
        <f aca="false">IF($W$41&gt;1,IF($A50=M$45,INDEX($W$21:$W$40,$A50)*(INDEX($W$21:$W$40,$A50)-1),INDEX($W$21:$W$40,$A50)*INDEX($W$21:$W$40,M$45))/($W$41-1),0)</f>
        <v>0</v>
      </c>
      <c r="N50" s="32" t="n">
        <f aca="false">IF($W$41&gt;1,IF($A50=N$45,INDEX($W$21:$W$40,$A50)*(INDEX($W$21:$W$40,$A50)-1),INDEX($W$21:$W$40,$A50)*INDEX($W$21:$W$40,N$45))/($W$41-1),0)</f>
        <v>0</v>
      </c>
      <c r="O50" s="32" t="n">
        <f aca="false">IF($W$41&gt;1,IF($A50=O$45,INDEX($W$21:$W$40,$A50)*(INDEX($W$21:$W$40,$A50)-1),INDEX($W$21:$W$40,$A50)*INDEX($W$21:$W$40,O$45))/($W$41-1),0)</f>
        <v>0</v>
      </c>
      <c r="P50" s="32" t="n">
        <f aca="false">IF($W$41&gt;1,IF($A50=P$45,INDEX($W$21:$W$40,$A50)*(INDEX($W$21:$W$40,$A50)-1),INDEX($W$21:$W$40,$A50)*INDEX($W$21:$W$40,P$45))/($W$41-1),0)</f>
        <v>0</v>
      </c>
      <c r="Q50" s="32" t="n">
        <f aca="false">IF($W$41&gt;1,IF($A50=Q$45,INDEX($W$21:$W$40,$A50)*(INDEX($W$21:$W$40,$A50)-1),INDEX($W$21:$W$40,$A50)*INDEX($W$21:$W$40,Q$45))/($W$41-1),0)</f>
        <v>0</v>
      </c>
      <c r="R50" s="32" t="n">
        <f aca="false">IF($W$41&gt;1,IF($A50=R$45,INDEX($W$21:$W$40,$A50)*(INDEX($W$21:$W$40,$A50)-1),INDEX($W$21:$W$40,$A50)*INDEX($W$21:$W$40,R$45))/($W$41-1),0)</f>
        <v>0</v>
      </c>
      <c r="S50" s="32" t="n">
        <f aca="false">IF($W$41&gt;1,IF($A50=S$45,INDEX($W$21:$W$40,$A50)*(INDEX($W$21:$W$40,$A50)-1),INDEX($W$21:$W$40,$A50)*INDEX($W$21:$W$40,S$45))/($W$41-1),0)</f>
        <v>0</v>
      </c>
      <c r="T50" s="32" t="n">
        <f aca="false">IF($W$41&gt;1,IF($A50=T$45,INDEX($W$21:$W$40,$A50)*(INDEX($W$21:$W$40,$A50)-1),INDEX($W$21:$W$40,$A50)*INDEX($W$21:$W$40,T$45))/($W$41-1),0)</f>
        <v>0</v>
      </c>
      <c r="U50" s="32" t="n">
        <f aca="false">IF($W$41&gt;1,IF($A50=U$45,INDEX($W$21:$W$40,$A50)*(INDEX($W$21:$W$40,$A50)-1),INDEX($W$21:$W$40,$A50)*INDEX($W$21:$W$40,U$45))/($W$41-1),0)</f>
        <v>0</v>
      </c>
      <c r="V50" s="32" t="n">
        <f aca="false">IF($W$41&gt;1,IF($A50=V$45,INDEX($W$21:$W$40,$A50)*(INDEX($W$21:$W$40,$A50)-1),INDEX($W$21:$W$40,$A50)*INDEX($W$21:$W$40,V$45))/($W$41-1),0)</f>
        <v>0</v>
      </c>
    </row>
    <row r="51" customFormat="false" ht="15" hidden="false" customHeight="false" outlineLevel="0" collapsed="false">
      <c r="A51" s="15" t="n">
        <v>5</v>
      </c>
      <c r="B51" s="15" t="str">
        <f aca="false">IF(Input!$H$14="","",Input!$H$14)</f>
        <v>K5</v>
      </c>
      <c r="C51" s="32" t="n">
        <f aca="false">IF($W$41&gt;1,IF($A51=C$45,INDEX($W$21:$W$40,$A51)*(INDEX($W$21:$W$40,$A51)-1),INDEX($W$21:$W$40,$A51)*INDEX($W$21:$W$40,C$45))/($W$41-1),0)</f>
        <v>0.521739130434783</v>
      </c>
      <c r="D51" s="32" t="n">
        <f aca="false">IF($W$41&gt;1,IF($A51=D$45,INDEX($W$21:$W$40,$A51)*(INDEX($W$21:$W$40,$A51)-1),INDEX($W$21:$W$40,$A51)*INDEX($W$21:$W$40,D$45))/($W$41-1),0)</f>
        <v>1.04347826086957</v>
      </c>
      <c r="E51" s="32" t="n">
        <f aca="false">IF($W$41&gt;1,IF($A51=E$45,INDEX($W$21:$W$40,$A51)*(INDEX($W$21:$W$40,$A51)-1),INDEX($W$21:$W$40,$A51)*INDEX($W$21:$W$40,E$45))/($W$41-1),0)</f>
        <v>1.56521739130435</v>
      </c>
      <c r="F51" s="32" t="n">
        <f aca="false">IF($W$41&gt;1,IF($A51=F$45,INDEX($W$21:$W$40,$A51)*(INDEX($W$21:$W$40,$A51)-1),INDEX($W$21:$W$40,$A51)*INDEX($W$21:$W$40,F$45))/($W$41-1),0)</f>
        <v>1.56521739130435</v>
      </c>
      <c r="G51" s="32" t="n">
        <f aca="false">IF($W$41&gt;1,IF($A51=G$45,INDEX($W$21:$W$40,$A51)*(INDEX($W$21:$W$40,$A51)-1),INDEX($W$21:$W$40,$A51)*INDEX($W$21:$W$40,G$45))/($W$41-1),0)</f>
        <v>1.30434782608696</v>
      </c>
      <c r="H51" s="32" t="n">
        <f aca="false">IF($W$41&gt;1,IF($A51=H$45,INDEX($W$21:$W$40,$A51)*(INDEX($W$21:$W$40,$A51)-1),INDEX($W$21:$W$40,$A51)*INDEX($W$21:$W$40,H$45))/($W$41-1),0)</f>
        <v>0</v>
      </c>
      <c r="I51" s="32" t="n">
        <f aca="false">IF($W$41&gt;1,IF($A51=I$45,INDEX($W$21:$W$40,$A51)*(INDEX($W$21:$W$40,$A51)-1),INDEX($W$21:$W$40,$A51)*INDEX($W$21:$W$40,I$45))/($W$41-1),0)</f>
        <v>0</v>
      </c>
      <c r="J51" s="32" t="n">
        <f aca="false">IF($W$41&gt;1,IF($A51=J$45,INDEX($W$21:$W$40,$A51)*(INDEX($W$21:$W$40,$A51)-1),INDEX($W$21:$W$40,$A51)*INDEX($W$21:$W$40,J$45))/($W$41-1),0)</f>
        <v>0</v>
      </c>
      <c r="K51" s="32" t="n">
        <f aca="false">IF($W$41&gt;1,IF($A51=K$45,INDEX($W$21:$W$40,$A51)*(INDEX($W$21:$W$40,$A51)-1),INDEX($W$21:$W$40,$A51)*INDEX($W$21:$W$40,K$45))/($W$41-1),0)</f>
        <v>0</v>
      </c>
      <c r="L51" s="32" t="n">
        <f aca="false">IF($W$41&gt;1,IF($A51=L$45,INDEX($W$21:$W$40,$A51)*(INDEX($W$21:$W$40,$A51)-1),INDEX($W$21:$W$40,$A51)*INDEX($W$21:$W$40,L$45))/($W$41-1),0)</f>
        <v>0</v>
      </c>
      <c r="M51" s="32" t="n">
        <f aca="false">IF($W$41&gt;1,IF($A51=M$45,INDEX($W$21:$W$40,$A51)*(INDEX($W$21:$W$40,$A51)-1),INDEX($W$21:$W$40,$A51)*INDEX($W$21:$W$40,M$45))/($W$41-1),0)</f>
        <v>0</v>
      </c>
      <c r="N51" s="32" t="n">
        <f aca="false">IF($W$41&gt;1,IF($A51=N$45,INDEX($W$21:$W$40,$A51)*(INDEX($W$21:$W$40,$A51)-1),INDEX($W$21:$W$40,$A51)*INDEX($W$21:$W$40,N$45))/($W$41-1),0)</f>
        <v>0</v>
      </c>
      <c r="O51" s="32" t="n">
        <f aca="false">IF($W$41&gt;1,IF($A51=O$45,INDEX($W$21:$W$40,$A51)*(INDEX($W$21:$W$40,$A51)-1),INDEX($W$21:$W$40,$A51)*INDEX($W$21:$W$40,O$45))/($W$41-1),0)</f>
        <v>0</v>
      </c>
      <c r="P51" s="32" t="n">
        <f aca="false">IF($W$41&gt;1,IF($A51=P$45,INDEX($W$21:$W$40,$A51)*(INDEX($W$21:$W$40,$A51)-1),INDEX($W$21:$W$40,$A51)*INDEX($W$21:$W$40,P$45))/($W$41-1),0)</f>
        <v>0</v>
      </c>
      <c r="Q51" s="32" t="n">
        <f aca="false">IF($W$41&gt;1,IF($A51=Q$45,INDEX($W$21:$W$40,$A51)*(INDEX($W$21:$W$40,$A51)-1),INDEX($W$21:$W$40,$A51)*INDEX($W$21:$W$40,Q$45))/($W$41-1),0)</f>
        <v>0</v>
      </c>
      <c r="R51" s="32" t="n">
        <f aca="false">IF($W$41&gt;1,IF($A51=R$45,INDEX($W$21:$W$40,$A51)*(INDEX($W$21:$W$40,$A51)-1),INDEX($W$21:$W$40,$A51)*INDEX($W$21:$W$40,R$45))/($W$41-1),0)</f>
        <v>0</v>
      </c>
      <c r="S51" s="32" t="n">
        <f aca="false">IF($W$41&gt;1,IF($A51=S$45,INDEX($W$21:$W$40,$A51)*(INDEX($W$21:$W$40,$A51)-1),INDEX($W$21:$W$40,$A51)*INDEX($W$21:$W$40,S$45))/($W$41-1),0)</f>
        <v>0</v>
      </c>
      <c r="T51" s="32" t="n">
        <f aca="false">IF($W$41&gt;1,IF($A51=T$45,INDEX($W$21:$W$40,$A51)*(INDEX($W$21:$W$40,$A51)-1),INDEX($W$21:$W$40,$A51)*INDEX($W$21:$W$40,T$45))/($W$41-1),0)</f>
        <v>0</v>
      </c>
      <c r="U51" s="32" t="n">
        <f aca="false">IF($W$41&gt;1,IF($A51=U$45,INDEX($W$21:$W$40,$A51)*(INDEX($W$21:$W$40,$A51)-1),INDEX($W$21:$W$40,$A51)*INDEX($W$21:$W$40,U$45))/($W$41-1),0)</f>
        <v>0</v>
      </c>
      <c r="V51" s="32" t="n">
        <f aca="false">IF($W$41&gt;1,IF($A51=V$45,INDEX($W$21:$W$40,$A51)*(INDEX($W$21:$W$40,$A51)-1),INDEX($W$21:$W$40,$A51)*INDEX($W$21:$W$40,V$45))/($W$41-1),0)</f>
        <v>0</v>
      </c>
    </row>
    <row r="52" customFormat="false" ht="15" hidden="false" customHeight="false" outlineLevel="0" collapsed="false">
      <c r="A52" s="15" t="n">
        <v>6</v>
      </c>
      <c r="B52" s="15" t="str">
        <f aca="false">IF(Input!$H$15="","",Input!$H$15)</f>
        <v/>
      </c>
      <c r="C52" s="32" t="n">
        <f aca="false">IF($W$41&gt;1,IF($A52=C$45,INDEX($W$21:$W$40,$A52)*(INDEX($W$21:$W$40,$A52)-1),INDEX($W$21:$W$40,$A52)*INDEX($W$21:$W$40,C$45))/($W$41-1),0)</f>
        <v>0</v>
      </c>
      <c r="D52" s="32" t="n">
        <f aca="false">IF($W$41&gt;1,IF($A52=D$45,INDEX($W$21:$W$40,$A52)*(INDEX($W$21:$W$40,$A52)-1),INDEX($W$21:$W$40,$A52)*INDEX($W$21:$W$40,D$45))/($W$41-1),0)</f>
        <v>0</v>
      </c>
      <c r="E52" s="32" t="n">
        <f aca="false">IF($W$41&gt;1,IF($A52=E$45,INDEX($W$21:$W$40,$A52)*(INDEX($W$21:$W$40,$A52)-1),INDEX($W$21:$W$40,$A52)*INDEX($W$21:$W$40,E$45))/($W$41-1),0)</f>
        <v>0</v>
      </c>
      <c r="F52" s="32" t="n">
        <f aca="false">IF($W$41&gt;1,IF($A52=F$45,INDEX($W$21:$W$40,$A52)*(INDEX($W$21:$W$40,$A52)-1),INDEX($W$21:$W$40,$A52)*INDEX($W$21:$W$40,F$45))/($W$41-1),0)</f>
        <v>0</v>
      </c>
      <c r="G52" s="32" t="n">
        <f aca="false">IF($W$41&gt;1,IF($A52=G$45,INDEX($W$21:$W$40,$A52)*(INDEX($W$21:$W$40,$A52)-1),INDEX($W$21:$W$40,$A52)*INDEX($W$21:$W$40,G$45))/($W$41-1),0)</f>
        <v>0</v>
      </c>
      <c r="H52" s="32" t="n">
        <f aca="false">IF($W$41&gt;1,IF($A52=H$45,INDEX($W$21:$W$40,$A52)*(INDEX($W$21:$W$40,$A52)-1),INDEX($W$21:$W$40,$A52)*INDEX($W$21:$W$40,H$45))/($W$41-1),0)</f>
        <v>-0</v>
      </c>
      <c r="I52" s="32" t="n">
        <f aca="false">IF($W$41&gt;1,IF($A52=I$45,INDEX($W$21:$W$40,$A52)*(INDEX($W$21:$W$40,$A52)-1),INDEX($W$21:$W$40,$A52)*INDEX($W$21:$W$40,I$45))/($W$41-1),0)</f>
        <v>0</v>
      </c>
      <c r="J52" s="32" t="n">
        <f aca="false">IF($W$41&gt;1,IF($A52=J$45,INDEX($W$21:$W$40,$A52)*(INDEX($W$21:$W$40,$A52)-1),INDEX($W$21:$W$40,$A52)*INDEX($W$21:$W$40,J$45))/($W$41-1),0)</f>
        <v>0</v>
      </c>
      <c r="K52" s="32" t="n">
        <f aca="false">IF($W$41&gt;1,IF($A52=K$45,INDEX($W$21:$W$40,$A52)*(INDEX($W$21:$W$40,$A52)-1),INDEX($W$21:$W$40,$A52)*INDEX($W$21:$W$40,K$45))/($W$41-1),0)</f>
        <v>0</v>
      </c>
      <c r="L52" s="32" t="n">
        <f aca="false">IF($W$41&gt;1,IF($A52=L$45,INDEX($W$21:$W$40,$A52)*(INDEX($W$21:$W$40,$A52)-1),INDEX($W$21:$W$40,$A52)*INDEX($W$21:$W$40,L$45))/($W$41-1),0)</f>
        <v>0</v>
      </c>
      <c r="M52" s="32" t="n">
        <f aca="false">IF($W$41&gt;1,IF($A52=M$45,INDEX($W$21:$W$40,$A52)*(INDEX($W$21:$W$40,$A52)-1),INDEX($W$21:$W$40,$A52)*INDEX($W$21:$W$40,M$45))/($W$41-1),0)</f>
        <v>0</v>
      </c>
      <c r="N52" s="32" t="n">
        <f aca="false">IF($W$41&gt;1,IF($A52=N$45,INDEX($W$21:$W$40,$A52)*(INDEX($W$21:$W$40,$A52)-1),INDEX($W$21:$W$40,$A52)*INDEX($W$21:$W$40,N$45))/($W$41-1),0)</f>
        <v>0</v>
      </c>
      <c r="O52" s="32" t="n">
        <f aca="false">IF($W$41&gt;1,IF($A52=O$45,INDEX($W$21:$W$40,$A52)*(INDEX($W$21:$W$40,$A52)-1),INDEX($W$21:$W$40,$A52)*INDEX($W$21:$W$40,O$45))/($W$41-1),0)</f>
        <v>0</v>
      </c>
      <c r="P52" s="32" t="n">
        <f aca="false">IF($W$41&gt;1,IF($A52=P$45,INDEX($W$21:$W$40,$A52)*(INDEX($W$21:$W$40,$A52)-1),INDEX($W$21:$W$40,$A52)*INDEX($W$21:$W$40,P$45))/($W$41-1),0)</f>
        <v>0</v>
      </c>
      <c r="Q52" s="32" t="n">
        <f aca="false">IF($W$41&gt;1,IF($A52=Q$45,INDEX($W$21:$W$40,$A52)*(INDEX($W$21:$W$40,$A52)-1),INDEX($W$21:$W$40,$A52)*INDEX($W$21:$W$40,Q$45))/($W$41-1),0)</f>
        <v>0</v>
      </c>
      <c r="R52" s="32" t="n">
        <f aca="false">IF($W$41&gt;1,IF($A52=R$45,INDEX($W$21:$W$40,$A52)*(INDEX($W$21:$W$40,$A52)-1),INDEX($W$21:$W$40,$A52)*INDEX($W$21:$W$40,R$45))/($W$41-1),0)</f>
        <v>0</v>
      </c>
      <c r="S52" s="32" t="n">
        <f aca="false">IF($W$41&gt;1,IF($A52=S$45,INDEX($W$21:$W$40,$A52)*(INDEX($W$21:$W$40,$A52)-1),INDEX($W$21:$W$40,$A52)*INDEX($W$21:$W$40,S$45))/($W$41-1),0)</f>
        <v>0</v>
      </c>
      <c r="T52" s="32" t="n">
        <f aca="false">IF($W$41&gt;1,IF($A52=T$45,INDEX($W$21:$W$40,$A52)*(INDEX($W$21:$W$40,$A52)-1),INDEX($W$21:$W$40,$A52)*INDEX($W$21:$W$40,T$45))/($W$41-1),0)</f>
        <v>0</v>
      </c>
      <c r="U52" s="32" t="n">
        <f aca="false">IF($W$41&gt;1,IF($A52=U$45,INDEX($W$21:$W$40,$A52)*(INDEX($W$21:$W$40,$A52)-1),INDEX($W$21:$W$40,$A52)*INDEX($W$21:$W$40,U$45))/($W$41-1),0)</f>
        <v>0</v>
      </c>
      <c r="V52" s="32" t="n">
        <f aca="false">IF($W$41&gt;1,IF($A52=V$45,INDEX($W$21:$W$40,$A52)*(INDEX($W$21:$W$40,$A52)-1),INDEX($W$21:$W$40,$A52)*INDEX($W$21:$W$40,V$45))/($W$41-1),0)</f>
        <v>0</v>
      </c>
    </row>
    <row r="53" customFormat="false" ht="15" hidden="false" customHeight="false" outlineLevel="0" collapsed="false">
      <c r="A53" s="15" t="n">
        <v>7</v>
      </c>
      <c r="B53" s="15" t="str">
        <f aca="false">IF(Input!$H$16="","",Input!$H$16)</f>
        <v/>
      </c>
      <c r="C53" s="32" t="n">
        <f aca="false">IF($W$41&gt;1,IF($A53=C$45,INDEX($W$21:$W$40,$A53)*(INDEX($W$21:$W$40,$A53)-1),INDEX($W$21:$W$40,$A53)*INDEX($W$21:$W$40,C$45))/($W$41-1),0)</f>
        <v>0</v>
      </c>
      <c r="D53" s="32" t="n">
        <f aca="false">IF($W$41&gt;1,IF($A53=D$45,INDEX($W$21:$W$40,$A53)*(INDEX($W$21:$W$40,$A53)-1),INDEX($W$21:$W$40,$A53)*INDEX($W$21:$W$40,D$45))/($W$41-1),0)</f>
        <v>0</v>
      </c>
      <c r="E53" s="32" t="n">
        <f aca="false">IF($W$41&gt;1,IF($A53=E$45,INDEX($W$21:$W$40,$A53)*(INDEX($W$21:$W$40,$A53)-1),INDEX($W$21:$W$40,$A53)*INDEX($W$21:$W$40,E$45))/($W$41-1),0)</f>
        <v>0</v>
      </c>
      <c r="F53" s="32" t="n">
        <f aca="false">IF($W$41&gt;1,IF($A53=F$45,INDEX($W$21:$W$40,$A53)*(INDEX($W$21:$W$40,$A53)-1),INDEX($W$21:$W$40,$A53)*INDEX($W$21:$W$40,F$45))/($W$41-1),0)</f>
        <v>0</v>
      </c>
      <c r="G53" s="32" t="n">
        <f aca="false">IF($W$41&gt;1,IF($A53=G$45,INDEX($W$21:$W$40,$A53)*(INDEX($W$21:$W$40,$A53)-1),INDEX($W$21:$W$40,$A53)*INDEX($W$21:$W$40,G$45))/($W$41-1),0)</f>
        <v>0</v>
      </c>
      <c r="H53" s="32" t="n">
        <f aca="false">IF($W$41&gt;1,IF($A53=H$45,INDEX($W$21:$W$40,$A53)*(INDEX($W$21:$W$40,$A53)-1),INDEX($W$21:$W$40,$A53)*INDEX($W$21:$W$40,H$45))/($W$41-1),0)</f>
        <v>0</v>
      </c>
      <c r="I53" s="32" t="n">
        <f aca="false">IF($W$41&gt;1,IF($A53=I$45,INDEX($W$21:$W$40,$A53)*(INDEX($W$21:$W$40,$A53)-1),INDEX($W$21:$W$40,$A53)*INDEX($W$21:$W$40,I$45))/($W$41-1),0)</f>
        <v>-0</v>
      </c>
      <c r="J53" s="32" t="n">
        <f aca="false">IF($W$41&gt;1,IF($A53=J$45,INDEX($W$21:$W$40,$A53)*(INDEX($W$21:$W$40,$A53)-1),INDEX($W$21:$W$40,$A53)*INDEX($W$21:$W$40,J$45))/($W$41-1),0)</f>
        <v>0</v>
      </c>
      <c r="K53" s="32" t="n">
        <f aca="false">IF($W$41&gt;1,IF($A53=K$45,INDEX($W$21:$W$40,$A53)*(INDEX($W$21:$W$40,$A53)-1),INDEX($W$21:$W$40,$A53)*INDEX($W$21:$W$40,K$45))/($W$41-1),0)</f>
        <v>0</v>
      </c>
      <c r="L53" s="32" t="n">
        <f aca="false">IF($W$41&gt;1,IF($A53=L$45,INDEX($W$21:$W$40,$A53)*(INDEX($W$21:$W$40,$A53)-1),INDEX($W$21:$W$40,$A53)*INDEX($W$21:$W$40,L$45))/($W$41-1),0)</f>
        <v>0</v>
      </c>
      <c r="M53" s="32" t="n">
        <f aca="false">IF($W$41&gt;1,IF($A53=M$45,INDEX($W$21:$W$40,$A53)*(INDEX($W$21:$W$40,$A53)-1),INDEX($W$21:$W$40,$A53)*INDEX($W$21:$W$40,M$45))/($W$41-1),0)</f>
        <v>0</v>
      </c>
      <c r="N53" s="32" t="n">
        <f aca="false">IF($W$41&gt;1,IF($A53=N$45,INDEX($W$21:$W$40,$A53)*(INDEX($W$21:$W$40,$A53)-1),INDEX($W$21:$W$40,$A53)*INDEX($W$21:$W$40,N$45))/($W$41-1),0)</f>
        <v>0</v>
      </c>
      <c r="O53" s="32" t="n">
        <f aca="false">IF($W$41&gt;1,IF($A53=O$45,INDEX($W$21:$W$40,$A53)*(INDEX($W$21:$W$40,$A53)-1),INDEX($W$21:$W$40,$A53)*INDEX($W$21:$W$40,O$45))/($W$41-1),0)</f>
        <v>0</v>
      </c>
      <c r="P53" s="32" t="n">
        <f aca="false">IF($W$41&gt;1,IF($A53=P$45,INDEX($W$21:$W$40,$A53)*(INDEX($W$21:$W$40,$A53)-1),INDEX($W$21:$W$40,$A53)*INDEX($W$21:$W$40,P$45))/($W$41-1),0)</f>
        <v>0</v>
      </c>
      <c r="Q53" s="32" t="n">
        <f aca="false">IF($W$41&gt;1,IF($A53=Q$45,INDEX($W$21:$W$40,$A53)*(INDEX($W$21:$W$40,$A53)-1),INDEX($W$21:$W$40,$A53)*INDEX($W$21:$W$40,Q$45))/($W$41-1),0)</f>
        <v>0</v>
      </c>
      <c r="R53" s="32" t="n">
        <f aca="false">IF($W$41&gt;1,IF($A53=R$45,INDEX($W$21:$W$40,$A53)*(INDEX($W$21:$W$40,$A53)-1),INDEX($W$21:$W$40,$A53)*INDEX($W$21:$W$40,R$45))/($W$41-1),0)</f>
        <v>0</v>
      </c>
      <c r="S53" s="32" t="n">
        <f aca="false">IF($W$41&gt;1,IF($A53=S$45,INDEX($W$21:$W$40,$A53)*(INDEX($W$21:$W$40,$A53)-1),INDEX($W$21:$W$40,$A53)*INDEX($W$21:$W$40,S$45))/($W$41-1),0)</f>
        <v>0</v>
      </c>
      <c r="T53" s="32" t="n">
        <f aca="false">IF($W$41&gt;1,IF($A53=T$45,INDEX($W$21:$W$40,$A53)*(INDEX($W$21:$W$40,$A53)-1),INDEX($W$21:$W$40,$A53)*INDEX($W$21:$W$40,T$45))/($W$41-1),0)</f>
        <v>0</v>
      </c>
      <c r="U53" s="32" t="n">
        <f aca="false">IF($W$41&gt;1,IF($A53=U$45,INDEX($W$21:$W$40,$A53)*(INDEX($W$21:$W$40,$A53)-1),INDEX($W$21:$W$40,$A53)*INDEX($W$21:$W$40,U$45))/($W$41-1),0)</f>
        <v>0</v>
      </c>
      <c r="V53" s="32" t="n">
        <f aca="false">IF($W$41&gt;1,IF($A53=V$45,INDEX($W$21:$W$40,$A53)*(INDEX($W$21:$W$40,$A53)-1),INDEX($W$21:$W$40,$A53)*INDEX($W$21:$W$40,V$45))/($W$41-1),0)</f>
        <v>0</v>
      </c>
    </row>
    <row r="54" customFormat="false" ht="15" hidden="false" customHeight="false" outlineLevel="0" collapsed="false">
      <c r="A54" s="15" t="n">
        <v>8</v>
      </c>
      <c r="B54" s="15" t="str">
        <f aca="false">IF(Input!$H$17="","",Input!$H$17)</f>
        <v/>
      </c>
      <c r="C54" s="32" t="n">
        <f aca="false">IF($W$41&gt;1,IF($A54=C$45,INDEX($W$21:$W$40,$A54)*(INDEX($W$21:$W$40,$A54)-1),INDEX($W$21:$W$40,$A54)*INDEX($W$21:$W$40,C$45))/($W$41-1),0)</f>
        <v>0</v>
      </c>
      <c r="D54" s="32" t="n">
        <f aca="false">IF($W$41&gt;1,IF($A54=D$45,INDEX($W$21:$W$40,$A54)*(INDEX($W$21:$W$40,$A54)-1),INDEX($W$21:$W$40,$A54)*INDEX($W$21:$W$40,D$45))/($W$41-1),0)</f>
        <v>0</v>
      </c>
      <c r="E54" s="32" t="n">
        <f aca="false">IF($W$41&gt;1,IF($A54=E$45,INDEX($W$21:$W$40,$A54)*(INDEX($W$21:$W$40,$A54)-1),INDEX($W$21:$W$40,$A54)*INDEX($W$21:$W$40,E$45))/($W$41-1),0)</f>
        <v>0</v>
      </c>
      <c r="F54" s="32" t="n">
        <f aca="false">IF($W$41&gt;1,IF($A54=F$45,INDEX($W$21:$W$40,$A54)*(INDEX($W$21:$W$40,$A54)-1),INDEX($W$21:$W$40,$A54)*INDEX($W$21:$W$40,F$45))/($W$41-1),0)</f>
        <v>0</v>
      </c>
      <c r="G54" s="32" t="n">
        <f aca="false">IF($W$41&gt;1,IF($A54=G$45,INDEX($W$21:$W$40,$A54)*(INDEX($W$21:$W$40,$A54)-1),INDEX($W$21:$W$40,$A54)*INDEX($W$21:$W$40,G$45))/($W$41-1),0)</f>
        <v>0</v>
      </c>
      <c r="H54" s="32" t="n">
        <f aca="false">IF($W$41&gt;1,IF($A54=H$45,INDEX($W$21:$W$40,$A54)*(INDEX($W$21:$W$40,$A54)-1),INDEX($W$21:$W$40,$A54)*INDEX($W$21:$W$40,H$45))/($W$41-1),0)</f>
        <v>0</v>
      </c>
      <c r="I54" s="32" t="n">
        <f aca="false">IF($W$41&gt;1,IF($A54=I$45,INDEX($W$21:$W$40,$A54)*(INDEX($W$21:$W$40,$A54)-1),INDEX($W$21:$W$40,$A54)*INDEX($W$21:$W$40,I$45))/($W$41-1),0)</f>
        <v>0</v>
      </c>
      <c r="J54" s="32" t="n">
        <f aca="false">IF($W$41&gt;1,IF($A54=J$45,INDEX($W$21:$W$40,$A54)*(INDEX($W$21:$W$40,$A54)-1),INDEX($W$21:$W$40,$A54)*INDEX($W$21:$W$40,J$45))/($W$41-1),0)</f>
        <v>-0</v>
      </c>
      <c r="K54" s="32" t="n">
        <f aca="false">IF($W$41&gt;1,IF($A54=K$45,INDEX($W$21:$W$40,$A54)*(INDEX($W$21:$W$40,$A54)-1),INDEX($W$21:$W$40,$A54)*INDEX($W$21:$W$40,K$45))/($W$41-1),0)</f>
        <v>0</v>
      </c>
      <c r="L54" s="32" t="n">
        <f aca="false">IF($W$41&gt;1,IF($A54=L$45,INDEX($W$21:$W$40,$A54)*(INDEX($W$21:$W$40,$A54)-1),INDEX($W$21:$W$40,$A54)*INDEX($W$21:$W$40,L$45))/($W$41-1),0)</f>
        <v>0</v>
      </c>
      <c r="M54" s="32" t="n">
        <f aca="false">IF($W$41&gt;1,IF($A54=M$45,INDEX($W$21:$W$40,$A54)*(INDEX($W$21:$W$40,$A54)-1),INDEX($W$21:$W$40,$A54)*INDEX($W$21:$W$40,M$45))/($W$41-1),0)</f>
        <v>0</v>
      </c>
      <c r="N54" s="32" t="n">
        <f aca="false">IF($W$41&gt;1,IF($A54=N$45,INDEX($W$21:$W$40,$A54)*(INDEX($W$21:$W$40,$A54)-1),INDEX($W$21:$W$40,$A54)*INDEX($W$21:$W$40,N$45))/($W$41-1),0)</f>
        <v>0</v>
      </c>
      <c r="O54" s="32" t="n">
        <f aca="false">IF($W$41&gt;1,IF($A54=O$45,INDEX($W$21:$W$40,$A54)*(INDEX($W$21:$W$40,$A54)-1),INDEX($W$21:$W$40,$A54)*INDEX($W$21:$W$40,O$45))/($W$41-1),0)</f>
        <v>0</v>
      </c>
      <c r="P54" s="32" t="n">
        <f aca="false">IF($W$41&gt;1,IF($A54=P$45,INDEX($W$21:$W$40,$A54)*(INDEX($W$21:$W$40,$A54)-1),INDEX($W$21:$W$40,$A54)*INDEX($W$21:$W$40,P$45))/($W$41-1),0)</f>
        <v>0</v>
      </c>
      <c r="Q54" s="32" t="n">
        <f aca="false">IF($W$41&gt;1,IF($A54=Q$45,INDEX($W$21:$W$40,$A54)*(INDEX($W$21:$W$40,$A54)-1),INDEX($W$21:$W$40,$A54)*INDEX($W$21:$W$40,Q$45))/($W$41-1),0)</f>
        <v>0</v>
      </c>
      <c r="R54" s="32" t="n">
        <f aca="false">IF($W$41&gt;1,IF($A54=R$45,INDEX($W$21:$W$40,$A54)*(INDEX($W$21:$W$40,$A54)-1),INDEX($W$21:$W$40,$A54)*INDEX($W$21:$W$40,R$45))/($W$41-1),0)</f>
        <v>0</v>
      </c>
      <c r="S54" s="32" t="n">
        <f aca="false">IF($W$41&gt;1,IF($A54=S$45,INDEX($W$21:$W$40,$A54)*(INDEX($W$21:$W$40,$A54)-1),INDEX($W$21:$W$40,$A54)*INDEX($W$21:$W$40,S$45))/($W$41-1),0)</f>
        <v>0</v>
      </c>
      <c r="T54" s="32" t="n">
        <f aca="false">IF($W$41&gt;1,IF($A54=T$45,INDEX($W$21:$W$40,$A54)*(INDEX($W$21:$W$40,$A54)-1),INDEX($W$21:$W$40,$A54)*INDEX($W$21:$W$40,T$45))/($W$41-1),0)</f>
        <v>0</v>
      </c>
      <c r="U54" s="32" t="n">
        <f aca="false">IF($W$41&gt;1,IF($A54=U$45,INDEX($W$21:$W$40,$A54)*(INDEX($W$21:$W$40,$A54)-1),INDEX($W$21:$W$40,$A54)*INDEX($W$21:$W$40,U$45))/($W$41-1),0)</f>
        <v>0</v>
      </c>
      <c r="V54" s="32" t="n">
        <f aca="false">IF($W$41&gt;1,IF($A54=V$45,INDEX($W$21:$W$40,$A54)*(INDEX($W$21:$W$40,$A54)-1),INDEX($W$21:$W$40,$A54)*INDEX($W$21:$W$40,V$45))/($W$41-1),0)</f>
        <v>0</v>
      </c>
    </row>
    <row r="55" customFormat="false" ht="15" hidden="false" customHeight="false" outlineLevel="0" collapsed="false">
      <c r="A55" s="15" t="n">
        <v>9</v>
      </c>
      <c r="B55" s="15" t="str">
        <f aca="false">IF(Input!$H$18="","",Input!$H$18)</f>
        <v/>
      </c>
      <c r="C55" s="32" t="n">
        <f aca="false">IF($W$41&gt;1,IF($A55=C$45,INDEX($W$21:$W$40,$A55)*(INDEX($W$21:$W$40,$A55)-1),INDEX($W$21:$W$40,$A55)*INDEX($W$21:$W$40,C$45))/($W$41-1),0)</f>
        <v>0</v>
      </c>
      <c r="D55" s="32" t="n">
        <f aca="false">IF($W$41&gt;1,IF($A55=D$45,INDEX($W$21:$W$40,$A55)*(INDEX($W$21:$W$40,$A55)-1),INDEX($W$21:$W$40,$A55)*INDEX($W$21:$W$40,D$45))/($W$41-1),0)</f>
        <v>0</v>
      </c>
      <c r="E55" s="32" t="n">
        <f aca="false">IF($W$41&gt;1,IF($A55=E$45,INDEX($W$21:$W$40,$A55)*(INDEX($W$21:$W$40,$A55)-1),INDEX($W$21:$W$40,$A55)*INDEX($W$21:$W$40,E$45))/($W$41-1),0)</f>
        <v>0</v>
      </c>
      <c r="F55" s="32" t="n">
        <f aca="false">IF($W$41&gt;1,IF($A55=F$45,INDEX($W$21:$W$40,$A55)*(INDEX($W$21:$W$40,$A55)-1),INDEX($W$21:$W$40,$A55)*INDEX($W$21:$W$40,F$45))/($W$41-1),0)</f>
        <v>0</v>
      </c>
      <c r="G55" s="32" t="n">
        <f aca="false">IF($W$41&gt;1,IF($A55=G$45,INDEX($W$21:$W$40,$A55)*(INDEX($W$21:$W$40,$A55)-1),INDEX($W$21:$W$40,$A55)*INDEX($W$21:$W$40,G$45))/($W$41-1),0)</f>
        <v>0</v>
      </c>
      <c r="H55" s="32" t="n">
        <f aca="false">IF($W$41&gt;1,IF($A55=H$45,INDEX($W$21:$W$40,$A55)*(INDEX($W$21:$W$40,$A55)-1),INDEX($W$21:$W$40,$A55)*INDEX($W$21:$W$40,H$45))/($W$41-1),0)</f>
        <v>0</v>
      </c>
      <c r="I55" s="32" t="n">
        <f aca="false">IF($W$41&gt;1,IF($A55=I$45,INDEX($W$21:$W$40,$A55)*(INDEX($W$21:$W$40,$A55)-1),INDEX($W$21:$W$40,$A55)*INDEX($W$21:$W$40,I$45))/($W$41-1),0)</f>
        <v>0</v>
      </c>
      <c r="J55" s="32" t="n">
        <f aca="false">IF($W$41&gt;1,IF($A55=J$45,INDEX($W$21:$W$40,$A55)*(INDEX($W$21:$W$40,$A55)-1),INDEX($W$21:$W$40,$A55)*INDEX($W$21:$W$40,J$45))/($W$41-1),0)</f>
        <v>0</v>
      </c>
      <c r="K55" s="32" t="n">
        <f aca="false">IF($W$41&gt;1,IF($A55=K$45,INDEX($W$21:$W$40,$A55)*(INDEX($W$21:$W$40,$A55)-1),INDEX($W$21:$W$40,$A55)*INDEX($W$21:$W$40,K$45))/($W$41-1),0)</f>
        <v>-0</v>
      </c>
      <c r="L55" s="32" t="n">
        <f aca="false">IF($W$41&gt;1,IF($A55=L$45,INDEX($W$21:$W$40,$A55)*(INDEX($W$21:$W$40,$A55)-1),INDEX($W$21:$W$40,$A55)*INDEX($W$21:$W$40,L$45))/($W$41-1),0)</f>
        <v>0</v>
      </c>
      <c r="M55" s="32" t="n">
        <f aca="false">IF($W$41&gt;1,IF($A55=M$45,INDEX($W$21:$W$40,$A55)*(INDEX($W$21:$W$40,$A55)-1),INDEX($W$21:$W$40,$A55)*INDEX($W$21:$W$40,M$45))/($W$41-1),0)</f>
        <v>0</v>
      </c>
      <c r="N55" s="32" t="n">
        <f aca="false">IF($W$41&gt;1,IF($A55=N$45,INDEX($W$21:$W$40,$A55)*(INDEX($W$21:$W$40,$A55)-1),INDEX($W$21:$W$40,$A55)*INDEX($W$21:$W$40,N$45))/($W$41-1),0)</f>
        <v>0</v>
      </c>
      <c r="O55" s="32" t="n">
        <f aca="false">IF($W$41&gt;1,IF($A55=O$45,INDEX($W$21:$W$40,$A55)*(INDEX($W$21:$W$40,$A55)-1),INDEX($W$21:$W$40,$A55)*INDEX($W$21:$W$40,O$45))/($W$41-1),0)</f>
        <v>0</v>
      </c>
      <c r="P55" s="32" t="n">
        <f aca="false">IF($W$41&gt;1,IF($A55=P$45,INDEX($W$21:$W$40,$A55)*(INDEX($W$21:$W$40,$A55)-1),INDEX($W$21:$W$40,$A55)*INDEX($W$21:$W$40,P$45))/($W$41-1),0)</f>
        <v>0</v>
      </c>
      <c r="Q55" s="32" t="n">
        <f aca="false">IF($W$41&gt;1,IF($A55=Q$45,INDEX($W$21:$W$40,$A55)*(INDEX($W$21:$W$40,$A55)-1),INDEX($W$21:$W$40,$A55)*INDEX($W$21:$W$40,Q$45))/($W$41-1),0)</f>
        <v>0</v>
      </c>
      <c r="R55" s="32" t="n">
        <f aca="false">IF($W$41&gt;1,IF($A55=R$45,INDEX($W$21:$W$40,$A55)*(INDEX($W$21:$W$40,$A55)-1),INDEX($W$21:$W$40,$A55)*INDEX($W$21:$W$40,R$45))/($W$41-1),0)</f>
        <v>0</v>
      </c>
      <c r="S55" s="32" t="n">
        <f aca="false">IF($W$41&gt;1,IF($A55=S$45,INDEX($W$21:$W$40,$A55)*(INDEX($W$21:$W$40,$A55)-1),INDEX($W$21:$W$40,$A55)*INDEX($W$21:$W$40,S$45))/($W$41-1),0)</f>
        <v>0</v>
      </c>
      <c r="T55" s="32" t="n">
        <f aca="false">IF($W$41&gt;1,IF($A55=T$45,INDEX($W$21:$W$40,$A55)*(INDEX($W$21:$W$40,$A55)-1),INDEX($W$21:$W$40,$A55)*INDEX($W$21:$W$40,T$45))/($W$41-1),0)</f>
        <v>0</v>
      </c>
      <c r="U55" s="32" t="n">
        <f aca="false">IF($W$41&gt;1,IF($A55=U$45,INDEX($W$21:$W$40,$A55)*(INDEX($W$21:$W$40,$A55)-1),INDEX($W$21:$W$40,$A55)*INDEX($W$21:$W$40,U$45))/($W$41-1),0)</f>
        <v>0</v>
      </c>
      <c r="V55" s="32" t="n">
        <f aca="false">IF($W$41&gt;1,IF($A55=V$45,INDEX($W$21:$W$40,$A55)*(INDEX($W$21:$W$40,$A55)-1),INDEX($W$21:$W$40,$A55)*INDEX($W$21:$W$40,V$45))/($W$41-1),0)</f>
        <v>0</v>
      </c>
    </row>
    <row r="56" customFormat="false" ht="15" hidden="false" customHeight="false" outlineLevel="0" collapsed="false">
      <c r="A56" s="15" t="n">
        <v>10</v>
      </c>
      <c r="B56" s="15" t="str">
        <f aca="false">IF(Input!$H$19="","",Input!$H$19)</f>
        <v/>
      </c>
      <c r="C56" s="32" t="n">
        <f aca="false">IF($W$41&gt;1,IF($A56=C$45,INDEX($W$21:$W$40,$A56)*(INDEX($W$21:$W$40,$A56)-1),INDEX($W$21:$W$40,$A56)*INDEX($W$21:$W$40,C$45))/($W$41-1),0)</f>
        <v>0</v>
      </c>
      <c r="D56" s="32" t="n">
        <f aca="false">IF($W$41&gt;1,IF($A56=D$45,INDEX($W$21:$W$40,$A56)*(INDEX($W$21:$W$40,$A56)-1),INDEX($W$21:$W$40,$A56)*INDEX($W$21:$W$40,D$45))/($W$41-1),0)</f>
        <v>0</v>
      </c>
      <c r="E56" s="32" t="n">
        <f aca="false">IF($W$41&gt;1,IF($A56=E$45,INDEX($W$21:$W$40,$A56)*(INDEX($W$21:$W$40,$A56)-1),INDEX($W$21:$W$40,$A56)*INDEX($W$21:$W$40,E$45))/($W$41-1),0)</f>
        <v>0</v>
      </c>
      <c r="F56" s="32" t="n">
        <f aca="false">IF($W$41&gt;1,IF($A56=F$45,INDEX($W$21:$W$40,$A56)*(INDEX($W$21:$W$40,$A56)-1),INDEX($W$21:$W$40,$A56)*INDEX($W$21:$W$40,F$45))/($W$41-1),0)</f>
        <v>0</v>
      </c>
      <c r="G56" s="32" t="n">
        <f aca="false">IF($W$41&gt;1,IF($A56=G$45,INDEX($W$21:$W$40,$A56)*(INDEX($W$21:$W$40,$A56)-1),INDEX($W$21:$W$40,$A56)*INDEX($W$21:$W$40,G$45))/($W$41-1),0)</f>
        <v>0</v>
      </c>
      <c r="H56" s="32" t="n">
        <f aca="false">IF($W$41&gt;1,IF($A56=H$45,INDEX($W$21:$W$40,$A56)*(INDEX($W$21:$W$40,$A56)-1),INDEX($W$21:$W$40,$A56)*INDEX($W$21:$W$40,H$45))/($W$41-1),0)</f>
        <v>0</v>
      </c>
      <c r="I56" s="32" t="n">
        <f aca="false">IF($W$41&gt;1,IF($A56=I$45,INDEX($W$21:$W$40,$A56)*(INDEX($W$21:$W$40,$A56)-1),INDEX($W$21:$W$40,$A56)*INDEX($W$21:$W$40,I$45))/($W$41-1),0)</f>
        <v>0</v>
      </c>
      <c r="J56" s="32" t="n">
        <f aca="false">IF($W$41&gt;1,IF($A56=J$45,INDEX($W$21:$W$40,$A56)*(INDEX($W$21:$W$40,$A56)-1),INDEX($W$21:$W$40,$A56)*INDEX($W$21:$W$40,J$45))/($W$41-1),0)</f>
        <v>0</v>
      </c>
      <c r="K56" s="32" t="n">
        <f aca="false">IF($W$41&gt;1,IF($A56=K$45,INDEX($W$21:$W$40,$A56)*(INDEX($W$21:$W$40,$A56)-1),INDEX($W$21:$W$40,$A56)*INDEX($W$21:$W$40,K$45))/($W$41-1),0)</f>
        <v>0</v>
      </c>
      <c r="L56" s="32" t="n">
        <f aca="false">IF($W$41&gt;1,IF($A56=L$45,INDEX($W$21:$W$40,$A56)*(INDEX($W$21:$W$40,$A56)-1),INDEX($W$21:$W$40,$A56)*INDEX($W$21:$W$40,L$45))/($W$41-1),0)</f>
        <v>-0</v>
      </c>
      <c r="M56" s="32" t="n">
        <f aca="false">IF($W$41&gt;1,IF($A56=M$45,INDEX($W$21:$W$40,$A56)*(INDEX($W$21:$W$40,$A56)-1),INDEX($W$21:$W$40,$A56)*INDEX($W$21:$W$40,M$45))/($W$41-1),0)</f>
        <v>0</v>
      </c>
      <c r="N56" s="32" t="n">
        <f aca="false">IF($W$41&gt;1,IF($A56=N$45,INDEX($W$21:$W$40,$A56)*(INDEX($W$21:$W$40,$A56)-1),INDEX($W$21:$W$40,$A56)*INDEX($W$21:$W$40,N$45))/($W$41-1),0)</f>
        <v>0</v>
      </c>
      <c r="O56" s="32" t="n">
        <f aca="false">IF($W$41&gt;1,IF($A56=O$45,INDEX($W$21:$W$40,$A56)*(INDEX($W$21:$W$40,$A56)-1),INDEX($W$21:$W$40,$A56)*INDEX($W$21:$W$40,O$45))/($W$41-1),0)</f>
        <v>0</v>
      </c>
      <c r="P56" s="32" t="n">
        <f aca="false">IF($W$41&gt;1,IF($A56=P$45,INDEX($W$21:$W$40,$A56)*(INDEX($W$21:$W$40,$A56)-1),INDEX($W$21:$W$40,$A56)*INDEX($W$21:$W$40,P$45))/($W$41-1),0)</f>
        <v>0</v>
      </c>
      <c r="Q56" s="32" t="n">
        <f aca="false">IF($W$41&gt;1,IF($A56=Q$45,INDEX($W$21:$W$40,$A56)*(INDEX($W$21:$W$40,$A56)-1),INDEX($W$21:$W$40,$A56)*INDEX($W$21:$W$40,Q$45))/($W$41-1),0)</f>
        <v>0</v>
      </c>
      <c r="R56" s="32" t="n">
        <f aca="false">IF($W$41&gt;1,IF($A56=R$45,INDEX($W$21:$W$40,$A56)*(INDEX($W$21:$W$40,$A56)-1),INDEX($W$21:$W$40,$A56)*INDEX($W$21:$W$40,R$45))/($W$41-1),0)</f>
        <v>0</v>
      </c>
      <c r="S56" s="32" t="n">
        <f aca="false">IF($W$41&gt;1,IF($A56=S$45,INDEX($W$21:$W$40,$A56)*(INDEX($W$21:$W$40,$A56)-1),INDEX($W$21:$W$40,$A56)*INDEX($W$21:$W$40,S$45))/($W$41-1),0)</f>
        <v>0</v>
      </c>
      <c r="T56" s="32" t="n">
        <f aca="false">IF($W$41&gt;1,IF($A56=T$45,INDEX($W$21:$W$40,$A56)*(INDEX($W$21:$W$40,$A56)-1),INDEX($W$21:$W$40,$A56)*INDEX($W$21:$W$40,T$45))/($W$41-1),0)</f>
        <v>0</v>
      </c>
      <c r="U56" s="32" t="n">
        <f aca="false">IF($W$41&gt;1,IF($A56=U$45,INDEX($W$21:$W$40,$A56)*(INDEX($W$21:$W$40,$A56)-1),INDEX($W$21:$W$40,$A56)*INDEX($W$21:$W$40,U$45))/($W$41-1),0)</f>
        <v>0</v>
      </c>
      <c r="V56" s="32" t="n">
        <f aca="false">IF($W$41&gt;1,IF($A56=V$45,INDEX($W$21:$W$40,$A56)*(INDEX($W$21:$W$40,$A56)-1),INDEX($W$21:$W$40,$A56)*INDEX($W$21:$W$40,V$45))/($W$41-1),0)</f>
        <v>0</v>
      </c>
    </row>
    <row r="57" customFormat="false" ht="15" hidden="false" customHeight="false" outlineLevel="0" collapsed="false">
      <c r="A57" s="15" t="n">
        <v>11</v>
      </c>
      <c r="B57" s="15" t="str">
        <f aca="false">IF(Input!$H$20="","",Input!$H$20)</f>
        <v/>
      </c>
      <c r="C57" s="32" t="n">
        <f aca="false">IF($W$41&gt;1,IF($A57=C$45,INDEX($W$21:$W$40,$A57)*(INDEX($W$21:$W$40,$A57)-1),INDEX($W$21:$W$40,$A57)*INDEX($W$21:$W$40,C$45))/($W$41-1),0)</f>
        <v>0</v>
      </c>
      <c r="D57" s="32" t="n">
        <f aca="false">IF($W$41&gt;1,IF($A57=D$45,INDEX($W$21:$W$40,$A57)*(INDEX($W$21:$W$40,$A57)-1),INDEX($W$21:$W$40,$A57)*INDEX($W$21:$W$40,D$45))/($W$41-1),0)</f>
        <v>0</v>
      </c>
      <c r="E57" s="32" t="n">
        <f aca="false">IF($W$41&gt;1,IF($A57=E$45,INDEX($W$21:$W$40,$A57)*(INDEX($W$21:$W$40,$A57)-1),INDEX($W$21:$W$40,$A57)*INDEX($W$21:$W$40,E$45))/($W$41-1),0)</f>
        <v>0</v>
      </c>
      <c r="F57" s="32" t="n">
        <f aca="false">IF($W$41&gt;1,IF($A57=F$45,INDEX($W$21:$W$40,$A57)*(INDEX($W$21:$W$40,$A57)-1),INDEX($W$21:$W$40,$A57)*INDEX($W$21:$W$40,F$45))/($W$41-1),0)</f>
        <v>0</v>
      </c>
      <c r="G57" s="32" t="n">
        <f aca="false">IF($W$41&gt;1,IF($A57=G$45,INDEX($W$21:$W$40,$A57)*(INDEX($W$21:$W$40,$A57)-1),INDEX($W$21:$W$40,$A57)*INDEX($W$21:$W$40,G$45))/($W$41-1),0)</f>
        <v>0</v>
      </c>
      <c r="H57" s="32" t="n">
        <f aca="false">IF($W$41&gt;1,IF($A57=H$45,INDEX($W$21:$W$40,$A57)*(INDEX($W$21:$W$40,$A57)-1),INDEX($W$21:$W$40,$A57)*INDEX($W$21:$W$40,H$45))/($W$41-1),0)</f>
        <v>0</v>
      </c>
      <c r="I57" s="32" t="n">
        <f aca="false">IF($W$41&gt;1,IF($A57=I$45,INDEX($W$21:$W$40,$A57)*(INDEX($W$21:$W$40,$A57)-1),INDEX($W$21:$W$40,$A57)*INDEX($W$21:$W$40,I$45))/($W$41-1),0)</f>
        <v>0</v>
      </c>
      <c r="J57" s="32" t="n">
        <f aca="false">IF($W$41&gt;1,IF($A57=J$45,INDEX($W$21:$W$40,$A57)*(INDEX($W$21:$W$40,$A57)-1),INDEX($W$21:$W$40,$A57)*INDEX($W$21:$W$40,J$45))/($W$41-1),0)</f>
        <v>0</v>
      </c>
      <c r="K57" s="32" t="n">
        <f aca="false">IF($W$41&gt;1,IF($A57=K$45,INDEX($W$21:$W$40,$A57)*(INDEX($W$21:$W$40,$A57)-1),INDEX($W$21:$W$40,$A57)*INDEX($W$21:$W$40,K$45))/($W$41-1),0)</f>
        <v>0</v>
      </c>
      <c r="L57" s="32" t="n">
        <f aca="false">IF($W$41&gt;1,IF($A57=L$45,INDEX($W$21:$W$40,$A57)*(INDEX($W$21:$W$40,$A57)-1),INDEX($W$21:$W$40,$A57)*INDEX($W$21:$W$40,L$45))/($W$41-1),0)</f>
        <v>0</v>
      </c>
      <c r="M57" s="32" t="n">
        <f aca="false">IF($W$41&gt;1,IF($A57=M$45,INDEX($W$21:$W$40,$A57)*(INDEX($W$21:$W$40,$A57)-1),INDEX($W$21:$W$40,$A57)*INDEX($W$21:$W$40,M$45))/($W$41-1),0)</f>
        <v>-0</v>
      </c>
      <c r="N57" s="32" t="n">
        <f aca="false">IF($W$41&gt;1,IF($A57=N$45,INDEX($W$21:$W$40,$A57)*(INDEX($W$21:$W$40,$A57)-1),INDEX($W$21:$W$40,$A57)*INDEX($W$21:$W$40,N$45))/($W$41-1),0)</f>
        <v>0</v>
      </c>
      <c r="O57" s="32" t="n">
        <f aca="false">IF($W$41&gt;1,IF($A57=O$45,INDEX($W$21:$W$40,$A57)*(INDEX($W$21:$W$40,$A57)-1),INDEX($W$21:$W$40,$A57)*INDEX($W$21:$W$40,O$45))/($W$41-1),0)</f>
        <v>0</v>
      </c>
      <c r="P57" s="32" t="n">
        <f aca="false">IF($W$41&gt;1,IF($A57=P$45,INDEX($W$21:$W$40,$A57)*(INDEX($W$21:$W$40,$A57)-1),INDEX($W$21:$W$40,$A57)*INDEX($W$21:$W$40,P$45))/($W$41-1),0)</f>
        <v>0</v>
      </c>
      <c r="Q57" s="32" t="n">
        <f aca="false">IF($W$41&gt;1,IF($A57=Q$45,INDEX($W$21:$W$40,$A57)*(INDEX($W$21:$W$40,$A57)-1),INDEX($W$21:$W$40,$A57)*INDEX($W$21:$W$40,Q$45))/($W$41-1),0)</f>
        <v>0</v>
      </c>
      <c r="R57" s="32" t="n">
        <f aca="false">IF($W$41&gt;1,IF($A57=R$45,INDEX($W$21:$W$40,$A57)*(INDEX($W$21:$W$40,$A57)-1),INDEX($W$21:$W$40,$A57)*INDEX($W$21:$W$40,R$45))/($W$41-1),0)</f>
        <v>0</v>
      </c>
      <c r="S57" s="32" t="n">
        <f aca="false">IF($W$41&gt;1,IF($A57=S$45,INDEX($W$21:$W$40,$A57)*(INDEX($W$21:$W$40,$A57)-1),INDEX($W$21:$W$40,$A57)*INDEX($W$21:$W$40,S$45))/($W$41-1),0)</f>
        <v>0</v>
      </c>
      <c r="T57" s="32" t="n">
        <f aca="false">IF($W$41&gt;1,IF($A57=T$45,INDEX($W$21:$W$40,$A57)*(INDEX($W$21:$W$40,$A57)-1),INDEX($W$21:$W$40,$A57)*INDEX($W$21:$W$40,T$45))/($W$41-1),0)</f>
        <v>0</v>
      </c>
      <c r="U57" s="32" t="n">
        <f aca="false">IF($W$41&gt;1,IF($A57=U$45,INDEX($W$21:$W$40,$A57)*(INDEX($W$21:$W$40,$A57)-1),INDEX($W$21:$W$40,$A57)*INDEX($W$21:$W$40,U$45))/($W$41-1),0)</f>
        <v>0</v>
      </c>
      <c r="V57" s="32" t="n">
        <f aca="false">IF($W$41&gt;1,IF($A57=V$45,INDEX($W$21:$W$40,$A57)*(INDEX($W$21:$W$40,$A57)-1),INDEX($W$21:$W$40,$A57)*INDEX($W$21:$W$40,V$45))/($W$41-1),0)</f>
        <v>0</v>
      </c>
    </row>
    <row r="58" customFormat="false" ht="15" hidden="false" customHeight="false" outlineLevel="0" collapsed="false">
      <c r="A58" s="15" t="n">
        <v>12</v>
      </c>
      <c r="B58" s="15" t="str">
        <f aca="false">IF(Input!$H$21="","",Input!$H$21)</f>
        <v/>
      </c>
      <c r="C58" s="32" t="n">
        <f aca="false">IF($W$41&gt;1,IF($A58=C$45,INDEX($W$21:$W$40,$A58)*(INDEX($W$21:$W$40,$A58)-1),INDEX($W$21:$W$40,$A58)*INDEX($W$21:$W$40,C$45))/($W$41-1),0)</f>
        <v>0</v>
      </c>
      <c r="D58" s="32" t="n">
        <f aca="false">IF($W$41&gt;1,IF($A58=D$45,INDEX($W$21:$W$40,$A58)*(INDEX($W$21:$W$40,$A58)-1),INDEX($W$21:$W$40,$A58)*INDEX($W$21:$W$40,D$45))/($W$41-1),0)</f>
        <v>0</v>
      </c>
      <c r="E58" s="32" t="n">
        <f aca="false">IF($W$41&gt;1,IF($A58=E$45,INDEX($W$21:$W$40,$A58)*(INDEX($W$21:$W$40,$A58)-1),INDEX($W$21:$W$40,$A58)*INDEX($W$21:$W$40,E$45))/($W$41-1),0)</f>
        <v>0</v>
      </c>
      <c r="F58" s="32" t="n">
        <f aca="false">IF($W$41&gt;1,IF($A58=F$45,INDEX($W$21:$W$40,$A58)*(INDEX($W$21:$W$40,$A58)-1),INDEX($W$21:$W$40,$A58)*INDEX($W$21:$W$40,F$45))/($W$41-1),0)</f>
        <v>0</v>
      </c>
      <c r="G58" s="32" t="n">
        <f aca="false">IF($W$41&gt;1,IF($A58=G$45,INDEX($W$21:$W$40,$A58)*(INDEX($W$21:$W$40,$A58)-1),INDEX($W$21:$W$40,$A58)*INDEX($W$21:$W$40,G$45))/($W$41-1),0)</f>
        <v>0</v>
      </c>
      <c r="H58" s="32" t="n">
        <f aca="false">IF($W$41&gt;1,IF($A58=H$45,INDEX($W$21:$W$40,$A58)*(INDEX($W$21:$W$40,$A58)-1),INDEX($W$21:$W$40,$A58)*INDEX($W$21:$W$40,H$45))/($W$41-1),0)</f>
        <v>0</v>
      </c>
      <c r="I58" s="32" t="n">
        <f aca="false">IF($W$41&gt;1,IF($A58=I$45,INDEX($W$21:$W$40,$A58)*(INDEX($W$21:$W$40,$A58)-1),INDEX($W$21:$W$40,$A58)*INDEX($W$21:$W$40,I$45))/($W$41-1),0)</f>
        <v>0</v>
      </c>
      <c r="J58" s="32" t="n">
        <f aca="false">IF($W$41&gt;1,IF($A58=J$45,INDEX($W$21:$W$40,$A58)*(INDEX($W$21:$W$40,$A58)-1),INDEX($W$21:$W$40,$A58)*INDEX($W$21:$W$40,J$45))/($W$41-1),0)</f>
        <v>0</v>
      </c>
      <c r="K58" s="32" t="n">
        <f aca="false">IF($W$41&gt;1,IF($A58=K$45,INDEX($W$21:$W$40,$A58)*(INDEX($W$21:$W$40,$A58)-1),INDEX($W$21:$W$40,$A58)*INDEX($W$21:$W$40,K$45))/($W$41-1),0)</f>
        <v>0</v>
      </c>
      <c r="L58" s="32" t="n">
        <f aca="false">IF($W$41&gt;1,IF($A58=L$45,INDEX($W$21:$W$40,$A58)*(INDEX($W$21:$W$40,$A58)-1),INDEX($W$21:$W$40,$A58)*INDEX($W$21:$W$40,L$45))/($W$41-1),0)</f>
        <v>0</v>
      </c>
      <c r="M58" s="32" t="n">
        <f aca="false">IF($W$41&gt;1,IF($A58=M$45,INDEX($W$21:$W$40,$A58)*(INDEX($W$21:$W$40,$A58)-1),INDEX($W$21:$W$40,$A58)*INDEX($W$21:$W$40,M$45))/($W$41-1),0)</f>
        <v>0</v>
      </c>
      <c r="N58" s="32" t="n">
        <f aca="false">IF($W$41&gt;1,IF($A58=N$45,INDEX($W$21:$W$40,$A58)*(INDEX($W$21:$W$40,$A58)-1),INDEX($W$21:$W$40,$A58)*INDEX($W$21:$W$40,N$45))/($W$41-1),0)</f>
        <v>-0</v>
      </c>
      <c r="O58" s="32" t="n">
        <f aca="false">IF($W$41&gt;1,IF($A58=O$45,INDEX($W$21:$W$40,$A58)*(INDEX($W$21:$W$40,$A58)-1),INDEX($W$21:$W$40,$A58)*INDEX($W$21:$W$40,O$45))/($W$41-1),0)</f>
        <v>0</v>
      </c>
      <c r="P58" s="32" t="n">
        <f aca="false">IF($W$41&gt;1,IF($A58=P$45,INDEX($W$21:$W$40,$A58)*(INDEX($W$21:$W$40,$A58)-1),INDEX($W$21:$W$40,$A58)*INDEX($W$21:$W$40,P$45))/($W$41-1),0)</f>
        <v>0</v>
      </c>
      <c r="Q58" s="32" t="n">
        <f aca="false">IF($W$41&gt;1,IF($A58=Q$45,INDEX($W$21:$W$40,$A58)*(INDEX($W$21:$W$40,$A58)-1),INDEX($W$21:$W$40,$A58)*INDEX($W$21:$W$40,Q$45))/($W$41-1),0)</f>
        <v>0</v>
      </c>
      <c r="R58" s="32" t="n">
        <f aca="false">IF($W$41&gt;1,IF($A58=R$45,INDEX($W$21:$W$40,$A58)*(INDEX($W$21:$W$40,$A58)-1),INDEX($W$21:$W$40,$A58)*INDEX($W$21:$W$40,R$45))/($W$41-1),0)</f>
        <v>0</v>
      </c>
      <c r="S58" s="32" t="n">
        <f aca="false">IF($W$41&gt;1,IF($A58=S$45,INDEX($W$21:$W$40,$A58)*(INDEX($W$21:$W$40,$A58)-1),INDEX($W$21:$W$40,$A58)*INDEX($W$21:$W$40,S$45))/($W$41-1),0)</f>
        <v>0</v>
      </c>
      <c r="T58" s="32" t="n">
        <f aca="false">IF($W$41&gt;1,IF($A58=T$45,INDEX($W$21:$W$40,$A58)*(INDEX($W$21:$W$40,$A58)-1),INDEX($W$21:$W$40,$A58)*INDEX($W$21:$W$40,T$45))/($W$41-1),0)</f>
        <v>0</v>
      </c>
      <c r="U58" s="32" t="n">
        <f aca="false">IF($W$41&gt;1,IF($A58=U$45,INDEX($W$21:$W$40,$A58)*(INDEX($W$21:$W$40,$A58)-1),INDEX($W$21:$W$40,$A58)*INDEX($W$21:$W$40,U$45))/($W$41-1),0)</f>
        <v>0</v>
      </c>
      <c r="V58" s="32" t="n">
        <f aca="false">IF($W$41&gt;1,IF($A58=V$45,INDEX($W$21:$W$40,$A58)*(INDEX($W$21:$W$40,$A58)-1),INDEX($W$21:$W$40,$A58)*INDEX($W$21:$W$40,V$45))/($W$41-1),0)</f>
        <v>0</v>
      </c>
    </row>
    <row r="59" customFormat="false" ht="15" hidden="false" customHeight="false" outlineLevel="0" collapsed="false">
      <c r="A59" s="15" t="n">
        <v>13</v>
      </c>
      <c r="B59" s="15" t="str">
        <f aca="false">IF(Input!$H$22="","",Input!$H$22)</f>
        <v/>
      </c>
      <c r="C59" s="32" t="n">
        <f aca="false">IF($W$41&gt;1,IF($A59=C$45,INDEX($W$21:$W$40,$A59)*(INDEX($W$21:$W$40,$A59)-1),INDEX($W$21:$W$40,$A59)*INDEX($W$21:$W$40,C$45))/($W$41-1),0)</f>
        <v>0</v>
      </c>
      <c r="D59" s="32" t="n">
        <f aca="false">IF($W$41&gt;1,IF($A59=D$45,INDEX($W$21:$W$40,$A59)*(INDEX($W$21:$W$40,$A59)-1),INDEX($W$21:$W$40,$A59)*INDEX($W$21:$W$40,D$45))/($W$41-1),0)</f>
        <v>0</v>
      </c>
      <c r="E59" s="32" t="n">
        <f aca="false">IF($W$41&gt;1,IF($A59=E$45,INDEX($W$21:$W$40,$A59)*(INDEX($W$21:$W$40,$A59)-1),INDEX($W$21:$W$40,$A59)*INDEX($W$21:$W$40,E$45))/($W$41-1),0)</f>
        <v>0</v>
      </c>
      <c r="F59" s="32" t="n">
        <f aca="false">IF($W$41&gt;1,IF($A59=F$45,INDEX($W$21:$W$40,$A59)*(INDEX($W$21:$W$40,$A59)-1),INDEX($W$21:$W$40,$A59)*INDEX($W$21:$W$40,F$45))/($W$41-1),0)</f>
        <v>0</v>
      </c>
      <c r="G59" s="32" t="n">
        <f aca="false">IF($W$41&gt;1,IF($A59=G$45,INDEX($W$21:$W$40,$A59)*(INDEX($W$21:$W$40,$A59)-1),INDEX($W$21:$W$40,$A59)*INDEX($W$21:$W$40,G$45))/($W$41-1),0)</f>
        <v>0</v>
      </c>
      <c r="H59" s="32" t="n">
        <f aca="false">IF($W$41&gt;1,IF($A59=H$45,INDEX($W$21:$W$40,$A59)*(INDEX($W$21:$W$40,$A59)-1),INDEX($W$21:$W$40,$A59)*INDEX($W$21:$W$40,H$45))/($W$41-1),0)</f>
        <v>0</v>
      </c>
      <c r="I59" s="32" t="n">
        <f aca="false">IF($W$41&gt;1,IF($A59=I$45,INDEX($W$21:$W$40,$A59)*(INDEX($W$21:$W$40,$A59)-1),INDEX($W$21:$W$40,$A59)*INDEX($W$21:$W$40,I$45))/($W$41-1),0)</f>
        <v>0</v>
      </c>
      <c r="J59" s="32" t="n">
        <f aca="false">IF($W$41&gt;1,IF($A59=J$45,INDEX($W$21:$W$40,$A59)*(INDEX($W$21:$W$40,$A59)-1),INDEX($W$21:$W$40,$A59)*INDEX($W$21:$W$40,J$45))/($W$41-1),0)</f>
        <v>0</v>
      </c>
      <c r="K59" s="32" t="n">
        <f aca="false">IF($W$41&gt;1,IF($A59=K$45,INDEX($W$21:$W$40,$A59)*(INDEX($W$21:$W$40,$A59)-1),INDEX($W$21:$W$40,$A59)*INDEX($W$21:$W$40,K$45))/($W$41-1),0)</f>
        <v>0</v>
      </c>
      <c r="L59" s="32" t="n">
        <f aca="false">IF($W$41&gt;1,IF($A59=L$45,INDEX($W$21:$W$40,$A59)*(INDEX($W$21:$W$40,$A59)-1),INDEX($W$21:$W$40,$A59)*INDEX($W$21:$W$40,L$45))/($W$41-1),0)</f>
        <v>0</v>
      </c>
      <c r="M59" s="32" t="n">
        <f aca="false">IF($W$41&gt;1,IF($A59=M$45,INDEX($W$21:$W$40,$A59)*(INDEX($W$21:$W$40,$A59)-1),INDEX($W$21:$W$40,$A59)*INDEX($W$21:$W$40,M$45))/($W$41-1),0)</f>
        <v>0</v>
      </c>
      <c r="N59" s="32" t="n">
        <f aca="false">IF($W$41&gt;1,IF($A59=N$45,INDEX($W$21:$W$40,$A59)*(INDEX($W$21:$W$40,$A59)-1),INDEX($W$21:$W$40,$A59)*INDEX($W$21:$W$40,N$45))/($W$41-1),0)</f>
        <v>0</v>
      </c>
      <c r="O59" s="32" t="n">
        <f aca="false">IF($W$41&gt;1,IF($A59=O$45,INDEX($W$21:$W$40,$A59)*(INDEX($W$21:$W$40,$A59)-1),INDEX($W$21:$W$40,$A59)*INDEX($W$21:$W$40,O$45))/($W$41-1),0)</f>
        <v>-0</v>
      </c>
      <c r="P59" s="32" t="n">
        <f aca="false">IF($W$41&gt;1,IF($A59=P$45,INDEX($W$21:$W$40,$A59)*(INDEX($W$21:$W$40,$A59)-1),INDEX($W$21:$W$40,$A59)*INDEX($W$21:$W$40,P$45))/($W$41-1),0)</f>
        <v>0</v>
      </c>
      <c r="Q59" s="32" t="n">
        <f aca="false">IF($W$41&gt;1,IF($A59=Q$45,INDEX($W$21:$W$40,$A59)*(INDEX($W$21:$W$40,$A59)-1),INDEX($W$21:$W$40,$A59)*INDEX($W$21:$W$40,Q$45))/($W$41-1),0)</f>
        <v>0</v>
      </c>
      <c r="R59" s="32" t="n">
        <f aca="false">IF($W$41&gt;1,IF($A59=R$45,INDEX($W$21:$W$40,$A59)*(INDEX($W$21:$W$40,$A59)-1),INDEX($W$21:$W$40,$A59)*INDEX($W$21:$W$40,R$45))/($W$41-1),0)</f>
        <v>0</v>
      </c>
      <c r="S59" s="32" t="n">
        <f aca="false">IF($W$41&gt;1,IF($A59=S$45,INDEX($W$21:$W$40,$A59)*(INDEX($W$21:$W$40,$A59)-1),INDEX($W$21:$W$40,$A59)*INDEX($W$21:$W$40,S$45))/($W$41-1),0)</f>
        <v>0</v>
      </c>
      <c r="T59" s="32" t="n">
        <f aca="false">IF($W$41&gt;1,IF($A59=T$45,INDEX($W$21:$W$40,$A59)*(INDEX($W$21:$W$40,$A59)-1),INDEX($W$21:$W$40,$A59)*INDEX($W$21:$W$40,T$45))/($W$41-1),0)</f>
        <v>0</v>
      </c>
      <c r="U59" s="32" t="n">
        <f aca="false">IF($W$41&gt;1,IF($A59=U$45,INDEX($W$21:$W$40,$A59)*(INDEX($W$21:$W$40,$A59)-1),INDEX($W$21:$W$40,$A59)*INDEX($W$21:$W$40,U$45))/($W$41-1),0)</f>
        <v>0</v>
      </c>
      <c r="V59" s="32" t="n">
        <f aca="false">IF($W$41&gt;1,IF($A59=V$45,INDEX($W$21:$W$40,$A59)*(INDEX($W$21:$W$40,$A59)-1),INDEX($W$21:$W$40,$A59)*INDEX($W$21:$W$40,V$45))/($W$41-1),0)</f>
        <v>0</v>
      </c>
    </row>
    <row r="60" customFormat="false" ht="15" hidden="false" customHeight="false" outlineLevel="0" collapsed="false">
      <c r="A60" s="15" t="n">
        <v>14</v>
      </c>
      <c r="B60" s="15" t="str">
        <f aca="false">IF(Input!$H$23="","",Input!$H$23)</f>
        <v/>
      </c>
      <c r="C60" s="32" t="n">
        <f aca="false">IF($W$41&gt;1,IF($A60=C$45,INDEX($W$21:$W$40,$A60)*(INDEX($W$21:$W$40,$A60)-1),INDEX($W$21:$W$40,$A60)*INDEX($W$21:$W$40,C$45))/($W$41-1),0)</f>
        <v>0</v>
      </c>
      <c r="D60" s="32" t="n">
        <f aca="false">IF($W$41&gt;1,IF($A60=D$45,INDEX($W$21:$W$40,$A60)*(INDEX($W$21:$W$40,$A60)-1),INDEX($W$21:$W$40,$A60)*INDEX($W$21:$W$40,D$45))/($W$41-1),0)</f>
        <v>0</v>
      </c>
      <c r="E60" s="32" t="n">
        <f aca="false">IF($W$41&gt;1,IF($A60=E$45,INDEX($W$21:$W$40,$A60)*(INDEX($W$21:$W$40,$A60)-1),INDEX($W$21:$W$40,$A60)*INDEX($W$21:$W$40,E$45))/($W$41-1),0)</f>
        <v>0</v>
      </c>
      <c r="F60" s="32" t="n">
        <f aca="false">IF($W$41&gt;1,IF($A60=F$45,INDEX($W$21:$W$40,$A60)*(INDEX($W$21:$W$40,$A60)-1),INDEX($W$21:$W$40,$A60)*INDEX($W$21:$W$40,F$45))/($W$41-1),0)</f>
        <v>0</v>
      </c>
      <c r="G60" s="32" t="n">
        <f aca="false">IF($W$41&gt;1,IF($A60=G$45,INDEX($W$21:$W$40,$A60)*(INDEX($W$21:$W$40,$A60)-1),INDEX($W$21:$W$40,$A60)*INDEX($W$21:$W$40,G$45))/($W$41-1),0)</f>
        <v>0</v>
      </c>
      <c r="H60" s="32" t="n">
        <f aca="false">IF($W$41&gt;1,IF($A60=H$45,INDEX($W$21:$W$40,$A60)*(INDEX($W$21:$W$40,$A60)-1),INDEX($W$21:$W$40,$A60)*INDEX($W$21:$W$40,H$45))/($W$41-1),0)</f>
        <v>0</v>
      </c>
      <c r="I60" s="32" t="n">
        <f aca="false">IF($W$41&gt;1,IF($A60=I$45,INDEX($W$21:$W$40,$A60)*(INDEX($W$21:$W$40,$A60)-1),INDEX($W$21:$W$40,$A60)*INDEX($W$21:$W$40,I$45))/($W$41-1),0)</f>
        <v>0</v>
      </c>
      <c r="J60" s="32" t="n">
        <f aca="false">IF($W$41&gt;1,IF($A60=J$45,INDEX($W$21:$W$40,$A60)*(INDEX($W$21:$W$40,$A60)-1),INDEX($W$21:$W$40,$A60)*INDEX($W$21:$W$40,J$45))/($W$41-1),0)</f>
        <v>0</v>
      </c>
      <c r="K60" s="32" t="n">
        <f aca="false">IF($W$41&gt;1,IF($A60=K$45,INDEX($W$21:$W$40,$A60)*(INDEX($W$21:$W$40,$A60)-1),INDEX($W$21:$W$40,$A60)*INDEX($W$21:$W$40,K$45))/($W$41-1),0)</f>
        <v>0</v>
      </c>
      <c r="L60" s="32" t="n">
        <f aca="false">IF($W$41&gt;1,IF($A60=L$45,INDEX($W$21:$W$40,$A60)*(INDEX($W$21:$W$40,$A60)-1),INDEX($W$21:$W$40,$A60)*INDEX($W$21:$W$40,L$45))/($W$41-1),0)</f>
        <v>0</v>
      </c>
      <c r="M60" s="32" t="n">
        <f aca="false">IF($W$41&gt;1,IF($A60=M$45,INDEX($W$21:$W$40,$A60)*(INDEX($W$21:$W$40,$A60)-1),INDEX($W$21:$W$40,$A60)*INDEX($W$21:$W$40,M$45))/($W$41-1),0)</f>
        <v>0</v>
      </c>
      <c r="N60" s="32" t="n">
        <f aca="false">IF($W$41&gt;1,IF($A60=N$45,INDEX($W$21:$W$40,$A60)*(INDEX($W$21:$W$40,$A60)-1),INDEX($W$21:$W$40,$A60)*INDEX($W$21:$W$40,N$45))/($W$41-1),0)</f>
        <v>0</v>
      </c>
      <c r="O60" s="32" t="n">
        <f aca="false">IF($W$41&gt;1,IF($A60=O$45,INDEX($W$21:$W$40,$A60)*(INDEX($W$21:$W$40,$A60)-1),INDEX($W$21:$W$40,$A60)*INDEX($W$21:$W$40,O$45))/($W$41-1),0)</f>
        <v>0</v>
      </c>
      <c r="P60" s="32" t="n">
        <f aca="false">IF($W$41&gt;1,IF($A60=P$45,INDEX($W$21:$W$40,$A60)*(INDEX($W$21:$W$40,$A60)-1),INDEX($W$21:$W$40,$A60)*INDEX($W$21:$W$40,P$45))/($W$41-1),0)</f>
        <v>-0</v>
      </c>
      <c r="Q60" s="32" t="n">
        <f aca="false">IF($W$41&gt;1,IF($A60=Q$45,INDEX($W$21:$W$40,$A60)*(INDEX($W$21:$W$40,$A60)-1),INDEX($W$21:$W$40,$A60)*INDEX($W$21:$W$40,Q$45))/($W$41-1),0)</f>
        <v>0</v>
      </c>
      <c r="R60" s="32" t="n">
        <f aca="false">IF($W$41&gt;1,IF($A60=R$45,INDEX($W$21:$W$40,$A60)*(INDEX($W$21:$W$40,$A60)-1),INDEX($W$21:$W$40,$A60)*INDEX($W$21:$W$40,R$45))/($W$41-1),0)</f>
        <v>0</v>
      </c>
      <c r="S60" s="32" t="n">
        <f aca="false">IF($W$41&gt;1,IF($A60=S$45,INDEX($W$21:$W$40,$A60)*(INDEX($W$21:$W$40,$A60)-1),INDEX($W$21:$W$40,$A60)*INDEX($W$21:$W$40,S$45))/($W$41-1),0)</f>
        <v>0</v>
      </c>
      <c r="T60" s="32" t="n">
        <f aca="false">IF($W$41&gt;1,IF($A60=T$45,INDEX($W$21:$W$40,$A60)*(INDEX($W$21:$W$40,$A60)-1),INDEX($W$21:$W$40,$A60)*INDEX($W$21:$W$40,T$45))/($W$41-1),0)</f>
        <v>0</v>
      </c>
      <c r="U60" s="32" t="n">
        <f aca="false">IF($W$41&gt;1,IF($A60=U$45,INDEX($W$21:$W$40,$A60)*(INDEX($W$21:$W$40,$A60)-1),INDEX($W$21:$W$40,$A60)*INDEX($W$21:$W$40,U$45))/($W$41-1),0)</f>
        <v>0</v>
      </c>
      <c r="V60" s="32" t="n">
        <f aca="false">IF($W$41&gt;1,IF($A60=V$45,INDEX($W$21:$W$40,$A60)*(INDEX($W$21:$W$40,$A60)-1),INDEX($W$21:$W$40,$A60)*INDEX($W$21:$W$40,V$45))/($W$41-1),0)</f>
        <v>0</v>
      </c>
    </row>
    <row r="61" customFormat="false" ht="15" hidden="false" customHeight="false" outlineLevel="0" collapsed="false">
      <c r="A61" s="15" t="n">
        <v>15</v>
      </c>
      <c r="B61" s="15" t="str">
        <f aca="false">IF(Input!$H$24="","",Input!$H$24)</f>
        <v/>
      </c>
      <c r="C61" s="32" t="n">
        <f aca="false">IF($W$41&gt;1,IF($A61=C$45,INDEX($W$21:$W$40,$A61)*(INDEX($W$21:$W$40,$A61)-1),INDEX($W$21:$W$40,$A61)*INDEX($W$21:$W$40,C$45))/($W$41-1),0)</f>
        <v>0</v>
      </c>
      <c r="D61" s="32" t="n">
        <f aca="false">IF($W$41&gt;1,IF($A61=D$45,INDEX($W$21:$W$40,$A61)*(INDEX($W$21:$W$40,$A61)-1),INDEX($W$21:$W$40,$A61)*INDEX($W$21:$W$40,D$45))/($W$41-1),0)</f>
        <v>0</v>
      </c>
      <c r="E61" s="32" t="n">
        <f aca="false">IF($W$41&gt;1,IF($A61=E$45,INDEX($W$21:$W$40,$A61)*(INDEX($W$21:$W$40,$A61)-1),INDEX($W$21:$W$40,$A61)*INDEX($W$21:$W$40,E$45))/($W$41-1),0)</f>
        <v>0</v>
      </c>
      <c r="F61" s="32" t="n">
        <f aca="false">IF($W$41&gt;1,IF($A61=F$45,INDEX($W$21:$W$40,$A61)*(INDEX($W$21:$W$40,$A61)-1),INDEX($W$21:$W$40,$A61)*INDEX($W$21:$W$40,F$45))/($W$41-1),0)</f>
        <v>0</v>
      </c>
      <c r="G61" s="32" t="n">
        <f aca="false">IF($W$41&gt;1,IF($A61=G$45,INDEX($W$21:$W$40,$A61)*(INDEX($W$21:$W$40,$A61)-1),INDEX($W$21:$W$40,$A61)*INDEX($W$21:$W$40,G$45))/($W$41-1),0)</f>
        <v>0</v>
      </c>
      <c r="H61" s="32" t="n">
        <f aca="false">IF($W$41&gt;1,IF($A61=H$45,INDEX($W$21:$W$40,$A61)*(INDEX($W$21:$W$40,$A61)-1),INDEX($W$21:$W$40,$A61)*INDEX($W$21:$W$40,H$45))/($W$41-1),0)</f>
        <v>0</v>
      </c>
      <c r="I61" s="32" t="n">
        <f aca="false">IF($W$41&gt;1,IF($A61=I$45,INDEX($W$21:$W$40,$A61)*(INDEX($W$21:$W$40,$A61)-1),INDEX($W$21:$W$40,$A61)*INDEX($W$21:$W$40,I$45))/($W$41-1),0)</f>
        <v>0</v>
      </c>
      <c r="J61" s="32" t="n">
        <f aca="false">IF($W$41&gt;1,IF($A61=J$45,INDEX($W$21:$W$40,$A61)*(INDEX($W$21:$W$40,$A61)-1),INDEX($W$21:$W$40,$A61)*INDEX($W$21:$W$40,J$45))/($W$41-1),0)</f>
        <v>0</v>
      </c>
      <c r="K61" s="32" t="n">
        <f aca="false">IF($W$41&gt;1,IF($A61=K$45,INDEX($W$21:$W$40,$A61)*(INDEX($W$21:$W$40,$A61)-1),INDEX($W$21:$W$40,$A61)*INDEX($W$21:$W$40,K$45))/($W$41-1),0)</f>
        <v>0</v>
      </c>
      <c r="L61" s="32" t="n">
        <f aca="false">IF($W$41&gt;1,IF($A61=L$45,INDEX($W$21:$W$40,$A61)*(INDEX($W$21:$W$40,$A61)-1),INDEX($W$21:$W$40,$A61)*INDEX($W$21:$W$40,L$45))/($W$41-1),0)</f>
        <v>0</v>
      </c>
      <c r="M61" s="32" t="n">
        <f aca="false">IF($W$41&gt;1,IF($A61=M$45,INDEX($W$21:$W$40,$A61)*(INDEX($W$21:$W$40,$A61)-1),INDEX($W$21:$W$40,$A61)*INDEX($W$21:$W$40,M$45))/($W$41-1),0)</f>
        <v>0</v>
      </c>
      <c r="N61" s="32" t="n">
        <f aca="false">IF($W$41&gt;1,IF($A61=N$45,INDEX($W$21:$W$40,$A61)*(INDEX($W$21:$W$40,$A61)-1),INDEX($W$21:$W$40,$A61)*INDEX($W$21:$W$40,N$45))/($W$41-1),0)</f>
        <v>0</v>
      </c>
      <c r="O61" s="32" t="n">
        <f aca="false">IF($W$41&gt;1,IF($A61=O$45,INDEX($W$21:$W$40,$A61)*(INDEX($W$21:$W$40,$A61)-1),INDEX($W$21:$W$40,$A61)*INDEX($W$21:$W$40,O$45))/($W$41-1),0)</f>
        <v>0</v>
      </c>
      <c r="P61" s="32" t="n">
        <f aca="false">IF($W$41&gt;1,IF($A61=P$45,INDEX($W$21:$W$40,$A61)*(INDEX($W$21:$W$40,$A61)-1),INDEX($W$21:$W$40,$A61)*INDEX($W$21:$W$40,P$45))/($W$41-1),0)</f>
        <v>0</v>
      </c>
      <c r="Q61" s="32" t="n">
        <f aca="false">IF($W$41&gt;1,IF($A61=Q$45,INDEX($W$21:$W$40,$A61)*(INDEX($W$21:$W$40,$A61)-1),INDEX($W$21:$W$40,$A61)*INDEX($W$21:$W$40,Q$45))/($W$41-1),0)</f>
        <v>-0</v>
      </c>
      <c r="R61" s="32" t="n">
        <f aca="false">IF($W$41&gt;1,IF($A61=R$45,INDEX($W$21:$W$40,$A61)*(INDEX($W$21:$W$40,$A61)-1),INDEX($W$21:$W$40,$A61)*INDEX($W$21:$W$40,R$45))/($W$41-1),0)</f>
        <v>0</v>
      </c>
      <c r="S61" s="32" t="n">
        <f aca="false">IF($W$41&gt;1,IF($A61=S$45,INDEX($W$21:$W$40,$A61)*(INDEX($W$21:$W$40,$A61)-1),INDEX($W$21:$W$40,$A61)*INDEX($W$21:$W$40,S$45))/($W$41-1),0)</f>
        <v>0</v>
      </c>
      <c r="T61" s="32" t="n">
        <f aca="false">IF($W$41&gt;1,IF($A61=T$45,INDEX($W$21:$W$40,$A61)*(INDEX($W$21:$W$40,$A61)-1),INDEX($W$21:$W$40,$A61)*INDEX($W$21:$W$40,T$45))/($W$41-1),0)</f>
        <v>0</v>
      </c>
      <c r="U61" s="32" t="n">
        <f aca="false">IF($W$41&gt;1,IF($A61=U$45,INDEX($W$21:$W$40,$A61)*(INDEX($W$21:$W$40,$A61)-1),INDEX($W$21:$W$40,$A61)*INDEX($W$21:$W$40,U$45))/($W$41-1),0)</f>
        <v>0</v>
      </c>
      <c r="V61" s="32" t="n">
        <f aca="false">IF($W$41&gt;1,IF($A61=V$45,INDEX($W$21:$W$40,$A61)*(INDEX($W$21:$W$40,$A61)-1),INDEX($W$21:$W$40,$A61)*INDEX($W$21:$W$40,V$45))/($W$41-1),0)</f>
        <v>0</v>
      </c>
    </row>
    <row r="62" customFormat="false" ht="15" hidden="false" customHeight="false" outlineLevel="0" collapsed="false">
      <c r="A62" s="15" t="n">
        <v>16</v>
      </c>
      <c r="B62" s="15" t="str">
        <f aca="false">IF(Input!$H$25="","",Input!$H$25)</f>
        <v/>
      </c>
      <c r="C62" s="32" t="n">
        <f aca="false">IF($W$41&gt;1,IF($A62=C$45,INDEX($W$21:$W$40,$A62)*(INDEX($W$21:$W$40,$A62)-1),INDEX($W$21:$W$40,$A62)*INDEX($W$21:$W$40,C$45))/($W$41-1),0)</f>
        <v>0</v>
      </c>
      <c r="D62" s="32" t="n">
        <f aca="false">IF($W$41&gt;1,IF($A62=D$45,INDEX($W$21:$W$40,$A62)*(INDEX($W$21:$W$40,$A62)-1),INDEX($W$21:$W$40,$A62)*INDEX($W$21:$W$40,D$45))/($W$41-1),0)</f>
        <v>0</v>
      </c>
      <c r="E62" s="32" t="n">
        <f aca="false">IF($W$41&gt;1,IF($A62=E$45,INDEX($W$21:$W$40,$A62)*(INDEX($W$21:$W$40,$A62)-1),INDEX($W$21:$W$40,$A62)*INDEX($W$21:$W$40,E$45))/($W$41-1),0)</f>
        <v>0</v>
      </c>
      <c r="F62" s="32" t="n">
        <f aca="false">IF($W$41&gt;1,IF($A62=F$45,INDEX($W$21:$W$40,$A62)*(INDEX($W$21:$W$40,$A62)-1),INDEX($W$21:$W$40,$A62)*INDEX($W$21:$W$40,F$45))/($W$41-1),0)</f>
        <v>0</v>
      </c>
      <c r="G62" s="32" t="n">
        <f aca="false">IF($W$41&gt;1,IF($A62=G$45,INDEX($W$21:$W$40,$A62)*(INDEX($W$21:$W$40,$A62)-1),INDEX($W$21:$W$40,$A62)*INDEX($W$21:$W$40,G$45))/($W$41-1),0)</f>
        <v>0</v>
      </c>
      <c r="H62" s="32" t="n">
        <f aca="false">IF($W$41&gt;1,IF($A62=H$45,INDEX($W$21:$W$40,$A62)*(INDEX($W$21:$W$40,$A62)-1),INDEX($W$21:$W$40,$A62)*INDEX($W$21:$W$40,H$45))/($W$41-1),0)</f>
        <v>0</v>
      </c>
      <c r="I62" s="32" t="n">
        <f aca="false">IF($W$41&gt;1,IF($A62=I$45,INDEX($W$21:$W$40,$A62)*(INDEX($W$21:$W$40,$A62)-1),INDEX($W$21:$W$40,$A62)*INDEX($W$21:$W$40,I$45))/($W$41-1),0)</f>
        <v>0</v>
      </c>
      <c r="J62" s="32" t="n">
        <f aca="false">IF($W$41&gt;1,IF($A62=J$45,INDEX($W$21:$W$40,$A62)*(INDEX($W$21:$W$40,$A62)-1),INDEX($W$21:$W$40,$A62)*INDEX($W$21:$W$40,J$45))/($W$41-1),0)</f>
        <v>0</v>
      </c>
      <c r="K62" s="32" t="n">
        <f aca="false">IF($W$41&gt;1,IF($A62=K$45,INDEX($W$21:$W$40,$A62)*(INDEX($W$21:$W$40,$A62)-1),INDEX($W$21:$W$40,$A62)*INDEX($W$21:$W$40,K$45))/($W$41-1),0)</f>
        <v>0</v>
      </c>
      <c r="L62" s="32" t="n">
        <f aca="false">IF($W$41&gt;1,IF($A62=L$45,INDEX($W$21:$W$40,$A62)*(INDEX($W$21:$W$40,$A62)-1),INDEX($W$21:$W$40,$A62)*INDEX($W$21:$W$40,L$45))/($W$41-1),0)</f>
        <v>0</v>
      </c>
      <c r="M62" s="32" t="n">
        <f aca="false">IF($W$41&gt;1,IF($A62=M$45,INDEX($W$21:$W$40,$A62)*(INDEX($W$21:$W$40,$A62)-1),INDEX($W$21:$W$40,$A62)*INDEX($W$21:$W$40,M$45))/($W$41-1),0)</f>
        <v>0</v>
      </c>
      <c r="N62" s="32" t="n">
        <f aca="false">IF($W$41&gt;1,IF($A62=N$45,INDEX($W$21:$W$40,$A62)*(INDEX($W$21:$W$40,$A62)-1),INDEX($W$21:$W$40,$A62)*INDEX($W$21:$W$40,N$45))/($W$41-1),0)</f>
        <v>0</v>
      </c>
      <c r="O62" s="32" t="n">
        <f aca="false">IF($W$41&gt;1,IF($A62=O$45,INDEX($W$21:$W$40,$A62)*(INDEX($W$21:$W$40,$A62)-1),INDEX($W$21:$W$40,$A62)*INDEX($W$21:$W$40,O$45))/($W$41-1),0)</f>
        <v>0</v>
      </c>
      <c r="P62" s="32" t="n">
        <f aca="false">IF($W$41&gt;1,IF($A62=P$45,INDEX($W$21:$W$40,$A62)*(INDEX($W$21:$W$40,$A62)-1),INDEX($W$21:$W$40,$A62)*INDEX($W$21:$W$40,P$45))/($W$41-1),0)</f>
        <v>0</v>
      </c>
      <c r="Q62" s="32" t="n">
        <f aca="false">IF($W$41&gt;1,IF($A62=Q$45,INDEX($W$21:$W$40,$A62)*(INDEX($W$21:$W$40,$A62)-1),INDEX($W$21:$W$40,$A62)*INDEX($W$21:$W$40,Q$45))/($W$41-1),0)</f>
        <v>0</v>
      </c>
      <c r="R62" s="32" t="n">
        <f aca="false">IF($W$41&gt;1,IF($A62=R$45,INDEX($W$21:$W$40,$A62)*(INDEX($W$21:$W$40,$A62)-1),INDEX($W$21:$W$40,$A62)*INDEX($W$21:$W$40,R$45))/($W$41-1),0)</f>
        <v>-0</v>
      </c>
      <c r="S62" s="32" t="n">
        <f aca="false">IF($W$41&gt;1,IF($A62=S$45,INDEX($W$21:$W$40,$A62)*(INDEX($W$21:$W$40,$A62)-1),INDEX($W$21:$W$40,$A62)*INDEX($W$21:$W$40,S$45))/($W$41-1),0)</f>
        <v>0</v>
      </c>
      <c r="T62" s="32" t="n">
        <f aca="false">IF($W$41&gt;1,IF($A62=T$45,INDEX($W$21:$W$40,$A62)*(INDEX($W$21:$W$40,$A62)-1),INDEX($W$21:$W$40,$A62)*INDEX($W$21:$W$40,T$45))/($W$41-1),0)</f>
        <v>0</v>
      </c>
      <c r="U62" s="32" t="n">
        <f aca="false">IF($W$41&gt;1,IF($A62=U$45,INDEX($W$21:$W$40,$A62)*(INDEX($W$21:$W$40,$A62)-1),INDEX($W$21:$W$40,$A62)*INDEX($W$21:$W$40,U$45))/($W$41-1),0)</f>
        <v>0</v>
      </c>
      <c r="V62" s="32" t="n">
        <f aca="false">IF($W$41&gt;1,IF($A62=V$45,INDEX($W$21:$W$40,$A62)*(INDEX($W$21:$W$40,$A62)-1),INDEX($W$21:$W$40,$A62)*INDEX($W$21:$W$40,V$45))/($W$41-1),0)</f>
        <v>0</v>
      </c>
    </row>
    <row r="63" customFormat="false" ht="15" hidden="false" customHeight="false" outlineLevel="0" collapsed="false">
      <c r="A63" s="15" t="n">
        <v>17</v>
      </c>
      <c r="B63" s="15" t="str">
        <f aca="false">IF(Input!$H$26="","",Input!$H$26)</f>
        <v/>
      </c>
      <c r="C63" s="32" t="n">
        <f aca="false">IF($W$41&gt;1,IF($A63=C$45,INDEX($W$21:$W$40,$A63)*(INDEX($W$21:$W$40,$A63)-1),INDEX($W$21:$W$40,$A63)*INDEX($W$21:$W$40,C$45))/($W$41-1),0)</f>
        <v>0</v>
      </c>
      <c r="D63" s="32" t="n">
        <f aca="false">IF($W$41&gt;1,IF($A63=D$45,INDEX($W$21:$W$40,$A63)*(INDEX($W$21:$W$40,$A63)-1),INDEX($W$21:$W$40,$A63)*INDEX($W$21:$W$40,D$45))/($W$41-1),0)</f>
        <v>0</v>
      </c>
      <c r="E63" s="32" t="n">
        <f aca="false">IF($W$41&gt;1,IF($A63=E$45,INDEX($W$21:$W$40,$A63)*(INDEX($W$21:$W$40,$A63)-1),INDEX($W$21:$W$40,$A63)*INDEX($W$21:$W$40,E$45))/($W$41-1),0)</f>
        <v>0</v>
      </c>
      <c r="F63" s="32" t="n">
        <f aca="false">IF($W$41&gt;1,IF($A63=F$45,INDEX($W$21:$W$40,$A63)*(INDEX($W$21:$W$40,$A63)-1),INDEX($W$21:$W$40,$A63)*INDEX($W$21:$W$40,F$45))/($W$41-1),0)</f>
        <v>0</v>
      </c>
      <c r="G63" s="32" t="n">
        <f aca="false">IF($W$41&gt;1,IF($A63=G$45,INDEX($W$21:$W$40,$A63)*(INDEX($W$21:$W$40,$A63)-1),INDEX($W$21:$W$40,$A63)*INDEX($W$21:$W$40,G$45))/($W$41-1),0)</f>
        <v>0</v>
      </c>
      <c r="H63" s="32" t="n">
        <f aca="false">IF($W$41&gt;1,IF($A63=H$45,INDEX($W$21:$W$40,$A63)*(INDEX($W$21:$W$40,$A63)-1),INDEX($W$21:$W$40,$A63)*INDEX($W$21:$W$40,H$45))/($W$41-1),0)</f>
        <v>0</v>
      </c>
      <c r="I63" s="32" t="n">
        <f aca="false">IF($W$41&gt;1,IF($A63=I$45,INDEX($W$21:$W$40,$A63)*(INDEX($W$21:$W$40,$A63)-1),INDEX($W$21:$W$40,$A63)*INDEX($W$21:$W$40,I$45))/($W$41-1),0)</f>
        <v>0</v>
      </c>
      <c r="J63" s="32" t="n">
        <f aca="false">IF($W$41&gt;1,IF($A63=J$45,INDEX($W$21:$W$40,$A63)*(INDEX($W$21:$W$40,$A63)-1),INDEX($W$21:$W$40,$A63)*INDEX($W$21:$W$40,J$45))/($W$41-1),0)</f>
        <v>0</v>
      </c>
      <c r="K63" s="32" t="n">
        <f aca="false">IF($W$41&gt;1,IF($A63=K$45,INDEX($W$21:$W$40,$A63)*(INDEX($W$21:$W$40,$A63)-1),INDEX($W$21:$W$40,$A63)*INDEX($W$21:$W$40,K$45))/($W$41-1),0)</f>
        <v>0</v>
      </c>
      <c r="L63" s="32" t="n">
        <f aca="false">IF($W$41&gt;1,IF($A63=L$45,INDEX($W$21:$W$40,$A63)*(INDEX($W$21:$W$40,$A63)-1),INDEX($W$21:$W$40,$A63)*INDEX($W$21:$W$40,L$45))/($W$41-1),0)</f>
        <v>0</v>
      </c>
      <c r="M63" s="32" t="n">
        <f aca="false">IF($W$41&gt;1,IF($A63=M$45,INDEX($W$21:$W$40,$A63)*(INDEX($W$21:$W$40,$A63)-1),INDEX($W$21:$W$40,$A63)*INDEX($W$21:$W$40,M$45))/($W$41-1),0)</f>
        <v>0</v>
      </c>
      <c r="N63" s="32" t="n">
        <f aca="false">IF($W$41&gt;1,IF($A63=N$45,INDEX($W$21:$W$40,$A63)*(INDEX($W$21:$W$40,$A63)-1),INDEX($W$21:$W$40,$A63)*INDEX($W$21:$W$40,N$45))/($W$41-1),0)</f>
        <v>0</v>
      </c>
      <c r="O63" s="32" t="n">
        <f aca="false">IF($W$41&gt;1,IF($A63=O$45,INDEX($W$21:$W$40,$A63)*(INDEX($W$21:$W$40,$A63)-1),INDEX($W$21:$W$40,$A63)*INDEX($W$21:$W$40,O$45))/($W$41-1),0)</f>
        <v>0</v>
      </c>
      <c r="P63" s="32" t="n">
        <f aca="false">IF($W$41&gt;1,IF($A63=P$45,INDEX($W$21:$W$40,$A63)*(INDEX($W$21:$W$40,$A63)-1),INDEX($W$21:$W$40,$A63)*INDEX($W$21:$W$40,P$45))/($W$41-1),0)</f>
        <v>0</v>
      </c>
      <c r="Q63" s="32" t="n">
        <f aca="false">IF($W$41&gt;1,IF($A63=Q$45,INDEX($W$21:$W$40,$A63)*(INDEX($W$21:$W$40,$A63)-1),INDEX($W$21:$W$40,$A63)*INDEX($W$21:$W$40,Q$45))/($W$41-1),0)</f>
        <v>0</v>
      </c>
      <c r="R63" s="32" t="n">
        <f aca="false">IF($W$41&gt;1,IF($A63=R$45,INDEX($W$21:$W$40,$A63)*(INDEX($W$21:$W$40,$A63)-1),INDEX($W$21:$W$40,$A63)*INDEX($W$21:$W$40,R$45))/($W$41-1),0)</f>
        <v>0</v>
      </c>
      <c r="S63" s="32" t="n">
        <f aca="false">IF($W$41&gt;1,IF($A63=S$45,INDEX($W$21:$W$40,$A63)*(INDEX($W$21:$W$40,$A63)-1),INDEX($W$21:$W$40,$A63)*INDEX($W$21:$W$40,S$45))/($W$41-1),0)</f>
        <v>-0</v>
      </c>
      <c r="T63" s="32" t="n">
        <f aca="false">IF($W$41&gt;1,IF($A63=T$45,INDEX($W$21:$W$40,$A63)*(INDEX($W$21:$W$40,$A63)-1),INDEX($W$21:$W$40,$A63)*INDEX($W$21:$W$40,T$45))/($W$41-1),0)</f>
        <v>0</v>
      </c>
      <c r="U63" s="32" t="n">
        <f aca="false">IF($W$41&gt;1,IF($A63=U$45,INDEX($W$21:$W$40,$A63)*(INDEX($W$21:$W$40,$A63)-1),INDEX($W$21:$W$40,$A63)*INDEX($W$21:$W$40,U$45))/($W$41-1),0)</f>
        <v>0</v>
      </c>
      <c r="V63" s="32" t="n">
        <f aca="false">IF($W$41&gt;1,IF($A63=V$45,INDEX($W$21:$W$40,$A63)*(INDEX($W$21:$W$40,$A63)-1),INDEX($W$21:$W$40,$A63)*INDEX($W$21:$W$40,V$45))/($W$41-1),0)</f>
        <v>0</v>
      </c>
    </row>
    <row r="64" customFormat="false" ht="15" hidden="false" customHeight="false" outlineLevel="0" collapsed="false">
      <c r="A64" s="15" t="n">
        <v>18</v>
      </c>
      <c r="B64" s="15" t="str">
        <f aca="false">IF(Input!$H$27="","",Input!$H$27)</f>
        <v/>
      </c>
      <c r="C64" s="32" t="n">
        <f aca="false">IF($W$41&gt;1,IF($A64=C$45,INDEX($W$21:$W$40,$A64)*(INDEX($W$21:$W$40,$A64)-1),INDEX($W$21:$W$40,$A64)*INDEX($W$21:$W$40,C$45))/($W$41-1),0)</f>
        <v>0</v>
      </c>
      <c r="D64" s="32" t="n">
        <f aca="false">IF($W$41&gt;1,IF($A64=D$45,INDEX($W$21:$W$40,$A64)*(INDEX($W$21:$W$40,$A64)-1),INDEX($W$21:$W$40,$A64)*INDEX($W$21:$W$40,D$45))/($W$41-1),0)</f>
        <v>0</v>
      </c>
      <c r="E64" s="32" t="n">
        <f aca="false">IF($W$41&gt;1,IF($A64=E$45,INDEX($W$21:$W$40,$A64)*(INDEX($W$21:$W$40,$A64)-1),INDEX($W$21:$W$40,$A64)*INDEX($W$21:$W$40,E$45))/($W$41-1),0)</f>
        <v>0</v>
      </c>
      <c r="F64" s="32" t="n">
        <f aca="false">IF($W$41&gt;1,IF($A64=F$45,INDEX($W$21:$W$40,$A64)*(INDEX($W$21:$W$40,$A64)-1),INDEX($W$21:$W$40,$A64)*INDEX($W$21:$W$40,F$45))/($W$41-1),0)</f>
        <v>0</v>
      </c>
      <c r="G64" s="32" t="n">
        <f aca="false">IF($W$41&gt;1,IF($A64=G$45,INDEX($W$21:$W$40,$A64)*(INDEX($W$21:$W$40,$A64)-1),INDEX($W$21:$W$40,$A64)*INDEX($W$21:$W$40,G$45))/($W$41-1),0)</f>
        <v>0</v>
      </c>
      <c r="H64" s="32" t="n">
        <f aca="false">IF($W$41&gt;1,IF($A64=H$45,INDEX($W$21:$W$40,$A64)*(INDEX($W$21:$W$40,$A64)-1),INDEX($W$21:$W$40,$A64)*INDEX($W$21:$W$40,H$45))/($W$41-1),0)</f>
        <v>0</v>
      </c>
      <c r="I64" s="32" t="n">
        <f aca="false">IF($W$41&gt;1,IF($A64=I$45,INDEX($W$21:$W$40,$A64)*(INDEX($W$21:$W$40,$A64)-1),INDEX($W$21:$W$40,$A64)*INDEX($W$21:$W$40,I$45))/($W$41-1),0)</f>
        <v>0</v>
      </c>
      <c r="J64" s="32" t="n">
        <f aca="false">IF($W$41&gt;1,IF($A64=J$45,INDEX($W$21:$W$40,$A64)*(INDEX($W$21:$W$40,$A64)-1),INDEX($W$21:$W$40,$A64)*INDEX($W$21:$W$40,J$45))/($W$41-1),0)</f>
        <v>0</v>
      </c>
      <c r="K64" s="32" t="n">
        <f aca="false">IF($W$41&gt;1,IF($A64=K$45,INDEX($W$21:$W$40,$A64)*(INDEX($W$21:$W$40,$A64)-1),INDEX($W$21:$W$40,$A64)*INDEX($W$21:$W$40,K$45))/($W$41-1),0)</f>
        <v>0</v>
      </c>
      <c r="L64" s="32" t="n">
        <f aca="false">IF($W$41&gt;1,IF($A64=L$45,INDEX($W$21:$W$40,$A64)*(INDEX($W$21:$W$40,$A64)-1),INDEX($W$21:$W$40,$A64)*INDEX($W$21:$W$40,L$45))/($W$41-1),0)</f>
        <v>0</v>
      </c>
      <c r="M64" s="32" t="n">
        <f aca="false">IF($W$41&gt;1,IF($A64=M$45,INDEX($W$21:$W$40,$A64)*(INDEX($W$21:$W$40,$A64)-1),INDEX($W$21:$W$40,$A64)*INDEX($W$21:$W$40,M$45))/($W$41-1),0)</f>
        <v>0</v>
      </c>
      <c r="N64" s="32" t="n">
        <f aca="false">IF($W$41&gt;1,IF($A64=N$45,INDEX($W$21:$W$40,$A64)*(INDEX($W$21:$W$40,$A64)-1),INDEX($W$21:$W$40,$A64)*INDEX($W$21:$W$40,N$45))/($W$41-1),0)</f>
        <v>0</v>
      </c>
      <c r="O64" s="32" t="n">
        <f aca="false">IF($W$41&gt;1,IF($A64=O$45,INDEX($W$21:$W$40,$A64)*(INDEX($W$21:$W$40,$A64)-1),INDEX($W$21:$W$40,$A64)*INDEX($W$21:$W$40,O$45))/($W$41-1),0)</f>
        <v>0</v>
      </c>
      <c r="P64" s="32" t="n">
        <f aca="false">IF($W$41&gt;1,IF($A64=P$45,INDEX($W$21:$W$40,$A64)*(INDEX($W$21:$W$40,$A64)-1),INDEX($W$21:$W$40,$A64)*INDEX($W$21:$W$40,P$45))/($W$41-1),0)</f>
        <v>0</v>
      </c>
      <c r="Q64" s="32" t="n">
        <f aca="false">IF($W$41&gt;1,IF($A64=Q$45,INDEX($W$21:$W$40,$A64)*(INDEX($W$21:$W$40,$A64)-1),INDEX($W$21:$W$40,$A64)*INDEX($W$21:$W$40,Q$45))/($W$41-1),0)</f>
        <v>0</v>
      </c>
      <c r="R64" s="32" t="n">
        <f aca="false">IF($W$41&gt;1,IF($A64=R$45,INDEX($W$21:$W$40,$A64)*(INDEX($W$21:$W$40,$A64)-1),INDEX($W$21:$W$40,$A64)*INDEX($W$21:$W$40,R$45))/($W$41-1),0)</f>
        <v>0</v>
      </c>
      <c r="S64" s="32" t="n">
        <f aca="false">IF($W$41&gt;1,IF($A64=S$45,INDEX($W$21:$W$40,$A64)*(INDEX($W$21:$W$40,$A64)-1),INDEX($W$21:$W$40,$A64)*INDEX($W$21:$W$40,S$45))/($W$41-1),0)</f>
        <v>0</v>
      </c>
      <c r="T64" s="32" t="n">
        <f aca="false">IF($W$41&gt;1,IF($A64=T$45,INDEX($W$21:$W$40,$A64)*(INDEX($W$21:$W$40,$A64)-1),INDEX($W$21:$W$40,$A64)*INDEX($W$21:$W$40,T$45))/($W$41-1),0)</f>
        <v>-0</v>
      </c>
      <c r="U64" s="32" t="n">
        <f aca="false">IF($W$41&gt;1,IF($A64=U$45,INDEX($W$21:$W$40,$A64)*(INDEX($W$21:$W$40,$A64)-1),INDEX($W$21:$W$40,$A64)*INDEX($W$21:$W$40,U$45))/($W$41-1),0)</f>
        <v>0</v>
      </c>
      <c r="V64" s="32" t="n">
        <f aca="false">IF($W$41&gt;1,IF($A64=V$45,INDEX($W$21:$W$40,$A64)*(INDEX($W$21:$W$40,$A64)-1),INDEX($W$21:$W$40,$A64)*INDEX($W$21:$W$40,V$45))/($W$41-1),0)</f>
        <v>0</v>
      </c>
    </row>
    <row r="65" customFormat="false" ht="15" hidden="false" customHeight="false" outlineLevel="0" collapsed="false">
      <c r="A65" s="15" t="n">
        <v>19</v>
      </c>
      <c r="B65" s="15" t="str">
        <f aca="false">IF(Input!$H$28="","",Input!$H$28)</f>
        <v/>
      </c>
      <c r="C65" s="32" t="n">
        <f aca="false">IF($W$41&gt;1,IF($A65=C$45,INDEX($W$21:$W$40,$A65)*(INDEX($W$21:$W$40,$A65)-1),INDEX($W$21:$W$40,$A65)*INDEX($W$21:$W$40,C$45))/($W$41-1),0)</f>
        <v>0</v>
      </c>
      <c r="D65" s="32" t="n">
        <f aca="false">IF($W$41&gt;1,IF($A65=D$45,INDEX($W$21:$W$40,$A65)*(INDEX($W$21:$W$40,$A65)-1),INDEX($W$21:$W$40,$A65)*INDEX($W$21:$W$40,D$45))/($W$41-1),0)</f>
        <v>0</v>
      </c>
      <c r="E65" s="32" t="n">
        <f aca="false">IF($W$41&gt;1,IF($A65=E$45,INDEX($W$21:$W$40,$A65)*(INDEX($W$21:$W$40,$A65)-1),INDEX($W$21:$W$40,$A65)*INDEX($W$21:$W$40,E$45))/($W$41-1),0)</f>
        <v>0</v>
      </c>
      <c r="F65" s="32" t="n">
        <f aca="false">IF($W$41&gt;1,IF($A65=F$45,INDEX($W$21:$W$40,$A65)*(INDEX($W$21:$W$40,$A65)-1),INDEX($W$21:$W$40,$A65)*INDEX($W$21:$W$40,F$45))/($W$41-1),0)</f>
        <v>0</v>
      </c>
      <c r="G65" s="32" t="n">
        <f aca="false">IF($W$41&gt;1,IF($A65=G$45,INDEX($W$21:$W$40,$A65)*(INDEX($W$21:$W$40,$A65)-1),INDEX($W$21:$W$40,$A65)*INDEX($W$21:$W$40,G$45))/($W$41-1),0)</f>
        <v>0</v>
      </c>
      <c r="H65" s="32" t="n">
        <f aca="false">IF($W$41&gt;1,IF($A65=H$45,INDEX($W$21:$W$40,$A65)*(INDEX($W$21:$W$40,$A65)-1),INDEX($W$21:$W$40,$A65)*INDEX($W$21:$W$40,H$45))/($W$41-1),0)</f>
        <v>0</v>
      </c>
      <c r="I65" s="32" t="n">
        <f aca="false">IF($W$41&gt;1,IF($A65=I$45,INDEX($W$21:$W$40,$A65)*(INDEX($W$21:$W$40,$A65)-1),INDEX($W$21:$W$40,$A65)*INDEX($W$21:$W$40,I$45))/($W$41-1),0)</f>
        <v>0</v>
      </c>
      <c r="J65" s="32" t="n">
        <f aca="false">IF($W$41&gt;1,IF($A65=J$45,INDEX($W$21:$W$40,$A65)*(INDEX($W$21:$W$40,$A65)-1),INDEX($W$21:$W$40,$A65)*INDEX($W$21:$W$40,J$45))/($W$41-1),0)</f>
        <v>0</v>
      </c>
      <c r="K65" s="32" t="n">
        <f aca="false">IF($W$41&gt;1,IF($A65=K$45,INDEX($W$21:$W$40,$A65)*(INDEX($W$21:$W$40,$A65)-1),INDEX($W$21:$W$40,$A65)*INDEX($W$21:$W$40,K$45))/($W$41-1),0)</f>
        <v>0</v>
      </c>
      <c r="L65" s="32" t="n">
        <f aca="false">IF($W$41&gt;1,IF($A65=L$45,INDEX($W$21:$W$40,$A65)*(INDEX($W$21:$W$40,$A65)-1),INDEX($W$21:$W$40,$A65)*INDEX($W$21:$W$40,L$45))/($W$41-1),0)</f>
        <v>0</v>
      </c>
      <c r="M65" s="32" t="n">
        <f aca="false">IF($W$41&gt;1,IF($A65=M$45,INDEX($W$21:$W$40,$A65)*(INDEX($W$21:$W$40,$A65)-1),INDEX($W$21:$W$40,$A65)*INDEX($W$21:$W$40,M$45))/($W$41-1),0)</f>
        <v>0</v>
      </c>
      <c r="N65" s="32" t="n">
        <f aca="false">IF($W$41&gt;1,IF($A65=N$45,INDEX($W$21:$W$40,$A65)*(INDEX($W$21:$W$40,$A65)-1),INDEX($W$21:$W$40,$A65)*INDEX($W$21:$W$40,N$45))/($W$41-1),0)</f>
        <v>0</v>
      </c>
      <c r="O65" s="32" t="n">
        <f aca="false">IF($W$41&gt;1,IF($A65=O$45,INDEX($W$21:$W$40,$A65)*(INDEX($W$21:$W$40,$A65)-1),INDEX($W$21:$W$40,$A65)*INDEX($W$21:$W$40,O$45))/($W$41-1),0)</f>
        <v>0</v>
      </c>
      <c r="P65" s="32" t="n">
        <f aca="false">IF($W$41&gt;1,IF($A65=P$45,INDEX($W$21:$W$40,$A65)*(INDEX($W$21:$W$40,$A65)-1),INDEX($W$21:$W$40,$A65)*INDEX($W$21:$W$40,P$45))/($W$41-1),0)</f>
        <v>0</v>
      </c>
      <c r="Q65" s="32" t="n">
        <f aca="false">IF($W$41&gt;1,IF($A65=Q$45,INDEX($W$21:$W$40,$A65)*(INDEX($W$21:$W$40,$A65)-1),INDEX($W$21:$W$40,$A65)*INDEX($W$21:$W$40,Q$45))/($W$41-1),0)</f>
        <v>0</v>
      </c>
      <c r="R65" s="32" t="n">
        <f aca="false">IF($W$41&gt;1,IF($A65=R$45,INDEX($W$21:$W$40,$A65)*(INDEX($W$21:$W$40,$A65)-1),INDEX($W$21:$W$40,$A65)*INDEX($W$21:$W$40,R$45))/($W$41-1),0)</f>
        <v>0</v>
      </c>
      <c r="S65" s="32" t="n">
        <f aca="false">IF($W$41&gt;1,IF($A65=S$45,INDEX($W$21:$W$40,$A65)*(INDEX($W$21:$W$40,$A65)-1),INDEX($W$21:$W$40,$A65)*INDEX($W$21:$W$40,S$45))/($W$41-1),0)</f>
        <v>0</v>
      </c>
      <c r="T65" s="32" t="n">
        <f aca="false">IF($W$41&gt;1,IF($A65=T$45,INDEX($W$21:$W$40,$A65)*(INDEX($W$21:$W$40,$A65)-1),INDEX($W$21:$W$40,$A65)*INDEX($W$21:$W$40,T$45))/($W$41-1),0)</f>
        <v>0</v>
      </c>
      <c r="U65" s="32" t="n">
        <f aca="false">IF($W$41&gt;1,IF($A65=U$45,INDEX($W$21:$W$40,$A65)*(INDEX($W$21:$W$40,$A65)-1),INDEX($W$21:$W$40,$A65)*INDEX($W$21:$W$40,U$45))/($W$41-1),0)</f>
        <v>-0</v>
      </c>
      <c r="V65" s="32" t="n">
        <f aca="false">IF($W$41&gt;1,IF($A65=V$45,INDEX($W$21:$W$40,$A65)*(INDEX($W$21:$W$40,$A65)-1),INDEX($W$21:$W$40,$A65)*INDEX($W$21:$W$40,V$45))/($W$41-1),0)</f>
        <v>0</v>
      </c>
    </row>
    <row r="66" customFormat="false" ht="15" hidden="false" customHeight="false" outlineLevel="0" collapsed="false">
      <c r="A66" s="15" t="n">
        <v>20</v>
      </c>
      <c r="B66" s="15" t="str">
        <f aca="false">IF(Input!$H$29="","",Input!$H$29)</f>
        <v/>
      </c>
      <c r="C66" s="32" t="n">
        <f aca="false">IF($W$41&gt;1,IF($A66=C$45,INDEX($W$21:$W$40,$A66)*(INDEX($W$21:$W$40,$A66)-1),INDEX($W$21:$W$40,$A66)*INDEX($W$21:$W$40,C$45))/($W$41-1),0)</f>
        <v>0</v>
      </c>
      <c r="D66" s="32" t="n">
        <f aca="false">IF($W$41&gt;1,IF($A66=D$45,INDEX($W$21:$W$40,$A66)*(INDEX($W$21:$W$40,$A66)-1),INDEX($W$21:$W$40,$A66)*INDEX($W$21:$W$40,D$45))/($W$41-1),0)</f>
        <v>0</v>
      </c>
      <c r="E66" s="32" t="n">
        <f aca="false">IF($W$41&gt;1,IF($A66=E$45,INDEX($W$21:$W$40,$A66)*(INDEX($W$21:$W$40,$A66)-1),INDEX($W$21:$W$40,$A66)*INDEX($W$21:$W$40,E$45))/($W$41-1),0)</f>
        <v>0</v>
      </c>
      <c r="F66" s="32" t="n">
        <f aca="false">IF($W$41&gt;1,IF($A66=F$45,INDEX($W$21:$W$40,$A66)*(INDEX($W$21:$W$40,$A66)-1),INDEX($W$21:$W$40,$A66)*INDEX($W$21:$W$40,F$45))/($W$41-1),0)</f>
        <v>0</v>
      </c>
      <c r="G66" s="32" t="n">
        <f aca="false">IF($W$41&gt;1,IF($A66=G$45,INDEX($W$21:$W$40,$A66)*(INDEX($W$21:$W$40,$A66)-1),INDEX($W$21:$W$40,$A66)*INDEX($W$21:$W$40,G$45))/($W$41-1),0)</f>
        <v>0</v>
      </c>
      <c r="H66" s="32" t="n">
        <f aca="false">IF($W$41&gt;1,IF($A66=H$45,INDEX($W$21:$W$40,$A66)*(INDEX($W$21:$W$40,$A66)-1),INDEX($W$21:$W$40,$A66)*INDEX($W$21:$W$40,H$45))/($W$41-1),0)</f>
        <v>0</v>
      </c>
      <c r="I66" s="32" t="n">
        <f aca="false">IF($W$41&gt;1,IF($A66=I$45,INDEX($W$21:$W$40,$A66)*(INDEX($W$21:$W$40,$A66)-1),INDEX($W$21:$W$40,$A66)*INDEX($W$21:$W$40,I$45))/($W$41-1),0)</f>
        <v>0</v>
      </c>
      <c r="J66" s="32" t="n">
        <f aca="false">IF($W$41&gt;1,IF($A66=J$45,INDEX($W$21:$W$40,$A66)*(INDEX($W$21:$W$40,$A66)-1),INDEX($W$21:$W$40,$A66)*INDEX($W$21:$W$40,J$45))/($W$41-1),0)</f>
        <v>0</v>
      </c>
      <c r="K66" s="32" t="n">
        <f aca="false">IF($W$41&gt;1,IF($A66=K$45,INDEX($W$21:$W$40,$A66)*(INDEX($W$21:$W$40,$A66)-1),INDEX($W$21:$W$40,$A66)*INDEX($W$21:$W$40,K$45))/($W$41-1),0)</f>
        <v>0</v>
      </c>
      <c r="L66" s="32" t="n">
        <f aca="false">IF($W$41&gt;1,IF($A66=L$45,INDEX($W$21:$W$40,$A66)*(INDEX($W$21:$W$40,$A66)-1),INDEX($W$21:$W$40,$A66)*INDEX($W$21:$W$40,L$45))/($W$41-1),0)</f>
        <v>0</v>
      </c>
      <c r="M66" s="32" t="n">
        <f aca="false">IF($W$41&gt;1,IF($A66=M$45,INDEX($W$21:$W$40,$A66)*(INDEX($W$21:$W$40,$A66)-1),INDEX($W$21:$W$40,$A66)*INDEX($W$21:$W$40,M$45))/($W$41-1),0)</f>
        <v>0</v>
      </c>
      <c r="N66" s="32" t="n">
        <f aca="false">IF($W$41&gt;1,IF($A66=N$45,INDEX($W$21:$W$40,$A66)*(INDEX($W$21:$W$40,$A66)-1),INDEX($W$21:$W$40,$A66)*INDEX($W$21:$W$40,N$45))/($W$41-1),0)</f>
        <v>0</v>
      </c>
      <c r="O66" s="32" t="n">
        <f aca="false">IF($W$41&gt;1,IF($A66=O$45,INDEX($W$21:$W$40,$A66)*(INDEX($W$21:$W$40,$A66)-1),INDEX($W$21:$W$40,$A66)*INDEX($W$21:$W$40,O$45))/($W$41-1),0)</f>
        <v>0</v>
      </c>
      <c r="P66" s="32" t="n">
        <f aca="false">IF($W$41&gt;1,IF($A66=P$45,INDEX($W$21:$W$40,$A66)*(INDEX($W$21:$W$40,$A66)-1),INDEX($W$21:$W$40,$A66)*INDEX($W$21:$W$40,P$45))/($W$41-1),0)</f>
        <v>0</v>
      </c>
      <c r="Q66" s="32" t="n">
        <f aca="false">IF($W$41&gt;1,IF($A66=Q$45,INDEX($W$21:$W$40,$A66)*(INDEX($W$21:$W$40,$A66)-1),INDEX($W$21:$W$40,$A66)*INDEX($W$21:$W$40,Q$45))/($W$41-1),0)</f>
        <v>0</v>
      </c>
      <c r="R66" s="32" t="n">
        <f aca="false">IF($W$41&gt;1,IF($A66=R$45,INDEX($W$21:$W$40,$A66)*(INDEX($W$21:$W$40,$A66)-1),INDEX($W$21:$W$40,$A66)*INDEX($W$21:$W$40,R$45))/($W$41-1),0)</f>
        <v>0</v>
      </c>
      <c r="S66" s="32" t="n">
        <f aca="false">IF($W$41&gt;1,IF($A66=S$45,INDEX($W$21:$W$40,$A66)*(INDEX($W$21:$W$40,$A66)-1),INDEX($W$21:$W$40,$A66)*INDEX($W$21:$W$40,S$45))/($W$41-1),0)</f>
        <v>0</v>
      </c>
      <c r="T66" s="32" t="n">
        <f aca="false">IF($W$41&gt;1,IF($A66=T$45,INDEX($W$21:$W$40,$A66)*(INDEX($W$21:$W$40,$A66)-1),INDEX($W$21:$W$40,$A66)*INDEX($W$21:$W$40,T$45))/($W$41-1),0)</f>
        <v>0</v>
      </c>
      <c r="U66" s="32" t="n">
        <f aca="false">IF($W$41&gt;1,IF($A66=U$45,INDEX($W$21:$W$40,$A66)*(INDEX($W$21:$W$40,$A66)-1),INDEX($W$21:$W$40,$A66)*INDEX($W$21:$W$40,U$45))/($W$41-1),0)</f>
        <v>0</v>
      </c>
      <c r="V66" s="32" t="n">
        <f aca="false">IF($W$41&gt;1,IF($A66=V$45,INDEX($W$21:$W$40,$A66)*(INDEX($W$21:$W$40,$A66)-1),INDEX($W$21:$W$40,$A66)*INDEX($W$21:$W$40,V$45))/($W$41-1),0)</f>
        <v>-0</v>
      </c>
    </row>
    <row r="69" customFormat="false" ht="15" hidden="false" customHeight="false" outlineLevel="0" collapsed="false">
      <c r="A69" s="3" t="s">
        <v>148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customFormat="false" ht="15" hidden="false" customHeight="false" outlineLevel="0" collapsed="false">
      <c r="A70" s="15" t="s">
        <v>142</v>
      </c>
      <c r="B70" s="15" t="s">
        <v>143</v>
      </c>
      <c r="C70" s="15" t="n">
        <v>1</v>
      </c>
      <c r="D70" s="15" t="n">
        <v>2</v>
      </c>
      <c r="E70" s="15" t="n">
        <v>3</v>
      </c>
      <c r="F70" s="15" t="n">
        <v>4</v>
      </c>
      <c r="G70" s="15" t="n">
        <v>5</v>
      </c>
      <c r="H70" s="15" t="n">
        <v>6</v>
      </c>
      <c r="I70" s="15" t="n">
        <v>7</v>
      </c>
      <c r="J70" s="15" t="n">
        <v>8</v>
      </c>
      <c r="K70" s="15" t="n">
        <v>9</v>
      </c>
      <c r="L70" s="15" t="n">
        <v>10</v>
      </c>
      <c r="M70" s="15" t="n">
        <v>11</v>
      </c>
      <c r="N70" s="15" t="n">
        <v>12</v>
      </c>
      <c r="O70" s="15" t="n">
        <v>13</v>
      </c>
      <c r="P70" s="15" t="n">
        <v>14</v>
      </c>
      <c r="Q70" s="15" t="n">
        <v>15</v>
      </c>
      <c r="R70" s="15" t="n">
        <v>16</v>
      </c>
      <c r="S70" s="15" t="n">
        <v>17</v>
      </c>
      <c r="T70" s="15" t="n">
        <v>18</v>
      </c>
      <c r="U70" s="15" t="n">
        <v>19</v>
      </c>
      <c r="V70" s="15" t="n">
        <v>20</v>
      </c>
    </row>
    <row r="71" customFormat="false" ht="15" hidden="false" customHeight="false" outlineLevel="0" collapsed="false">
      <c r="A71" s="15"/>
      <c r="B71" s="15"/>
      <c r="C71" s="15" t="str">
        <f aca="false">IF(Input!$H$10="","",Input!$H$10)</f>
        <v>K1</v>
      </c>
      <c r="D71" s="15" t="str">
        <f aca="false">IF(Input!$H$11="","",Input!$H$11)</f>
        <v>K2</v>
      </c>
      <c r="E71" s="15" t="str">
        <f aca="false">IF(Input!$H$12="","",Input!$H$12)</f>
        <v>K3</v>
      </c>
      <c r="F71" s="15" t="str">
        <f aca="false">IF(Input!$H$13="","",Input!$H$13)</f>
        <v>K4</v>
      </c>
      <c r="G71" s="15" t="str">
        <f aca="false">IF(Input!$H$14="","",Input!$H$14)</f>
        <v>K5</v>
      </c>
      <c r="H71" s="15" t="str">
        <f aca="false">IF(Input!$H$15="","",Input!$H$15)</f>
        <v/>
      </c>
      <c r="I71" s="15" t="str">
        <f aca="false">IF(Input!$H$16="","",Input!$H$16)</f>
        <v/>
      </c>
      <c r="J71" s="15" t="str">
        <f aca="false">IF(Input!$H$17="","",Input!$H$17)</f>
        <v/>
      </c>
      <c r="K71" s="15" t="str">
        <f aca="false">IF(Input!$H$18="","",Input!$H$18)</f>
        <v/>
      </c>
      <c r="L71" s="15" t="str">
        <f aca="false">IF(Input!$H$19="","",Input!$H$19)</f>
        <v/>
      </c>
      <c r="M71" s="15" t="str">
        <f aca="false">IF(Input!$H$20="","",Input!$H$20)</f>
        <v/>
      </c>
      <c r="N71" s="15" t="str">
        <f aca="false">IF(Input!$H$21="","",Input!$H$21)</f>
        <v/>
      </c>
      <c r="O71" s="15" t="str">
        <f aca="false">IF(Input!$H$22="","",Input!$H$22)</f>
        <v/>
      </c>
      <c r="P71" s="15" t="str">
        <f aca="false">IF(Input!$H$23="","",Input!$H$23)</f>
        <v/>
      </c>
      <c r="Q71" s="15" t="str">
        <f aca="false">IF(Input!$H$24="","",Input!$H$24)</f>
        <v/>
      </c>
      <c r="R71" s="15" t="str">
        <f aca="false">IF(Input!$H$25="","",Input!$H$25)</f>
        <v/>
      </c>
      <c r="S71" s="15" t="str">
        <f aca="false">IF(Input!$H$26="","",Input!$H$26)</f>
        <v/>
      </c>
      <c r="T71" s="15" t="str">
        <f aca="false">IF(Input!$H$27="","",Input!$H$27)</f>
        <v/>
      </c>
      <c r="U71" s="15" t="str">
        <f aca="false">IF(Input!$H$28="","",Input!$H$28)</f>
        <v/>
      </c>
      <c r="V71" s="15" t="str">
        <f aca="false">IF(Input!$H$29="","",Input!$H$29)</f>
        <v/>
      </c>
    </row>
    <row r="72" customFormat="false" ht="15" hidden="false" customHeight="false" outlineLevel="0" collapsed="false">
      <c r="A72" s="15" t="n">
        <v>1</v>
      </c>
      <c r="B72" s="15" t="str">
        <f aca="false">IF(Input!$H$10="","",Input!$H$10)</f>
        <v>K1</v>
      </c>
      <c r="C72" s="32" t="n">
        <f aca="false">IF($A72=C$70,0,IF(Input!$H$5="Nominal",1,(SUM(INDEX($W$21:$W$40,MIN($A72,C$70)):INDEX($W$21:$W$40,MAX($A72,C$70)))-(INDEX($W$21:$W$40,$A72)+INDEX($W$21:$W$40,C$70))/2)^2))</f>
        <v>0</v>
      </c>
      <c r="D72" s="32" t="n">
        <f aca="false">IF($A72=D$70,0,IF(Input!$H$5="Nominal",1,(SUM(INDEX($W$21:$W$40,MIN($A72,D$70)):INDEX($W$21:$W$40,MAX($A72,D$70)))-(INDEX($W$21:$W$40,$A72)+INDEX($W$21:$W$40,D$70))/2)^2))</f>
        <v>1</v>
      </c>
      <c r="E72" s="32" t="n">
        <f aca="false">IF($A72=E$70,0,IF(Input!$H$5="Nominal",1,(SUM(INDEX($W$21:$W$40,MIN($A72,E$70)):INDEX($W$21:$W$40,MAX($A72,E$70)))-(INDEX($W$21:$W$40,$A72)+INDEX($W$21:$W$40,E$70))/2)^2))</f>
        <v>1</v>
      </c>
      <c r="F72" s="32" t="n">
        <f aca="false">IF($A72=F$70,0,IF(Input!$H$5="Nominal",1,(SUM(INDEX($W$21:$W$40,MIN($A72,F$70)):INDEX($W$21:$W$40,MAX($A72,F$70)))-(INDEX($W$21:$W$40,$A72)+INDEX($W$21:$W$40,F$70))/2)^2))</f>
        <v>1</v>
      </c>
      <c r="G72" s="32" t="n">
        <f aca="false">IF($A72=G$70,0,IF(Input!$H$5="Nominal",1,(SUM(INDEX($W$21:$W$40,MIN($A72,G$70)):INDEX($W$21:$W$40,MAX($A72,G$70)))-(INDEX($W$21:$W$40,$A72)+INDEX($W$21:$W$40,G$70))/2)^2))</f>
        <v>1</v>
      </c>
      <c r="H72" s="32" t="n">
        <f aca="false">IF($A72=H$70,0,IF(Input!$H$5="Nominal",1,(SUM(INDEX($W$21:$W$40,MIN($A72,H$70)):INDEX($W$21:$W$40,MAX($A72,H$70)))-(INDEX($W$21:$W$40,$A72)+INDEX($W$21:$W$40,H$70))/2)^2))</f>
        <v>1</v>
      </c>
      <c r="I72" s="32" t="n">
        <f aca="false">IF($A72=I$70,0,IF(Input!$H$5="Nominal",1,(SUM(INDEX($W$21:$W$40,MIN($A72,I$70)):INDEX($W$21:$W$40,MAX($A72,I$70)))-(INDEX($W$21:$W$40,$A72)+INDEX($W$21:$W$40,I$70))/2)^2))</f>
        <v>1</v>
      </c>
      <c r="J72" s="32" t="n">
        <f aca="false">IF($A72=J$70,0,IF(Input!$H$5="Nominal",1,(SUM(INDEX($W$21:$W$40,MIN($A72,J$70)):INDEX($W$21:$W$40,MAX($A72,J$70)))-(INDEX($W$21:$W$40,$A72)+INDEX($W$21:$W$40,J$70))/2)^2))</f>
        <v>1</v>
      </c>
      <c r="K72" s="32" t="n">
        <f aca="false">IF($A72=K$70,0,IF(Input!$H$5="Nominal",1,(SUM(INDEX($W$21:$W$40,MIN($A72,K$70)):INDEX($W$21:$W$40,MAX($A72,K$70)))-(INDEX($W$21:$W$40,$A72)+INDEX($W$21:$W$40,K$70))/2)^2))</f>
        <v>1</v>
      </c>
      <c r="L72" s="32" t="n">
        <f aca="false">IF($A72=L$70,0,IF(Input!$H$5="Nominal",1,(SUM(INDEX($W$21:$W$40,MIN($A72,L$70)):INDEX($W$21:$W$40,MAX($A72,L$70)))-(INDEX($W$21:$W$40,$A72)+INDEX($W$21:$W$40,L$70))/2)^2))</f>
        <v>1</v>
      </c>
      <c r="M72" s="32" t="n">
        <f aca="false">IF($A72=M$70,0,IF(Input!$H$5="Nominal",1,(SUM(INDEX($W$21:$W$40,MIN($A72,M$70)):INDEX($W$21:$W$40,MAX($A72,M$70)))-(INDEX($W$21:$W$40,$A72)+INDEX($W$21:$W$40,M$70))/2)^2))</f>
        <v>1</v>
      </c>
      <c r="N72" s="32" t="n">
        <f aca="false">IF($A72=N$70,0,IF(Input!$H$5="Nominal",1,(SUM(INDEX($W$21:$W$40,MIN($A72,N$70)):INDEX($W$21:$W$40,MAX($A72,N$70)))-(INDEX($W$21:$W$40,$A72)+INDEX($W$21:$W$40,N$70))/2)^2))</f>
        <v>1</v>
      </c>
      <c r="O72" s="32" t="n">
        <f aca="false">IF($A72=O$70,0,IF(Input!$H$5="Nominal",1,(SUM(INDEX($W$21:$W$40,MIN($A72,O$70)):INDEX($W$21:$W$40,MAX($A72,O$70)))-(INDEX($W$21:$W$40,$A72)+INDEX($W$21:$W$40,O$70))/2)^2))</f>
        <v>1</v>
      </c>
      <c r="P72" s="32" t="n">
        <f aca="false">IF($A72=P$70,0,IF(Input!$H$5="Nominal",1,(SUM(INDEX($W$21:$W$40,MIN($A72,P$70)):INDEX($W$21:$W$40,MAX($A72,P$70)))-(INDEX($W$21:$W$40,$A72)+INDEX($W$21:$W$40,P$70))/2)^2))</f>
        <v>1</v>
      </c>
      <c r="Q72" s="32" t="n">
        <f aca="false">IF($A72=Q$70,0,IF(Input!$H$5="Nominal",1,(SUM(INDEX($W$21:$W$40,MIN($A72,Q$70)):INDEX($W$21:$W$40,MAX($A72,Q$70)))-(INDEX($W$21:$W$40,$A72)+INDEX($W$21:$W$40,Q$70))/2)^2))</f>
        <v>1</v>
      </c>
      <c r="R72" s="32" t="n">
        <f aca="false">IF($A72=R$70,0,IF(Input!$H$5="Nominal",1,(SUM(INDEX($W$21:$W$40,MIN($A72,R$70)):INDEX($W$21:$W$40,MAX($A72,R$70)))-(INDEX($W$21:$W$40,$A72)+INDEX($W$21:$W$40,R$70))/2)^2))</f>
        <v>1</v>
      </c>
      <c r="S72" s="32" t="n">
        <f aca="false">IF($A72=S$70,0,IF(Input!$H$5="Nominal",1,(SUM(INDEX($W$21:$W$40,MIN($A72,S$70)):INDEX($W$21:$W$40,MAX($A72,S$70)))-(INDEX($W$21:$W$40,$A72)+INDEX($W$21:$W$40,S$70))/2)^2))</f>
        <v>1</v>
      </c>
      <c r="T72" s="32" t="n">
        <f aca="false">IF($A72=T$70,0,IF(Input!$H$5="Nominal",1,(SUM(INDEX($W$21:$W$40,MIN($A72,T$70)):INDEX($W$21:$W$40,MAX($A72,T$70)))-(INDEX($W$21:$W$40,$A72)+INDEX($W$21:$W$40,T$70))/2)^2))</f>
        <v>1</v>
      </c>
      <c r="U72" s="32" t="n">
        <f aca="false">IF($A72=U$70,0,IF(Input!$H$5="Nominal",1,(SUM(INDEX($W$21:$W$40,MIN($A72,U$70)):INDEX($W$21:$W$40,MAX($A72,U$70)))-(INDEX($W$21:$W$40,$A72)+INDEX($W$21:$W$40,U$70))/2)^2))</f>
        <v>1</v>
      </c>
      <c r="V72" s="32" t="n">
        <f aca="false">IF($A72=V$70,0,IF(Input!$H$5="Nominal",1,(SUM(INDEX($W$21:$W$40,MIN($A72,V$70)):INDEX($W$21:$W$40,MAX($A72,V$70)))-(INDEX($W$21:$W$40,$A72)+INDEX($W$21:$W$40,V$70))/2)^2))</f>
        <v>1</v>
      </c>
    </row>
    <row r="73" customFormat="false" ht="15" hidden="false" customHeight="false" outlineLevel="0" collapsed="false">
      <c r="A73" s="15" t="n">
        <v>2</v>
      </c>
      <c r="B73" s="15" t="str">
        <f aca="false">IF(Input!$H$11="","",Input!$H$11)</f>
        <v>K2</v>
      </c>
      <c r="C73" s="32" t="n">
        <f aca="false">IF($A73=C$70,0,IF(Input!$H$5="Nominal",1,(SUM(INDEX($W$21:$W$40,MIN($A73,C$70)):INDEX($W$21:$W$40,MAX($A73,C$70)))-(INDEX($W$21:$W$40,$A73)+INDEX($W$21:$W$40,C$70))/2)^2))</f>
        <v>1</v>
      </c>
      <c r="D73" s="32" t="n">
        <f aca="false">IF($A73=D$70,0,IF(Input!$H$5="Nominal",1,(SUM(INDEX($W$21:$W$40,MIN($A73,D$70)):INDEX($W$21:$W$40,MAX($A73,D$70)))-(INDEX($W$21:$W$40,$A73)+INDEX($W$21:$W$40,D$70))/2)^2))</f>
        <v>0</v>
      </c>
      <c r="E73" s="32" t="n">
        <f aca="false">IF($A73=E$70,0,IF(Input!$H$5="Nominal",1,(SUM(INDEX($W$21:$W$40,MIN($A73,E$70)):INDEX($W$21:$W$40,MAX($A73,E$70)))-(INDEX($W$21:$W$40,$A73)+INDEX($W$21:$W$40,E$70))/2)^2))</f>
        <v>1</v>
      </c>
      <c r="F73" s="32" t="n">
        <f aca="false">IF($A73=F$70,0,IF(Input!$H$5="Nominal",1,(SUM(INDEX($W$21:$W$40,MIN($A73,F$70)):INDEX($W$21:$W$40,MAX($A73,F$70)))-(INDEX($W$21:$W$40,$A73)+INDEX($W$21:$W$40,F$70))/2)^2))</f>
        <v>1</v>
      </c>
      <c r="G73" s="32" t="n">
        <f aca="false">IF($A73=G$70,0,IF(Input!$H$5="Nominal",1,(SUM(INDEX($W$21:$W$40,MIN($A73,G$70)):INDEX($W$21:$W$40,MAX($A73,G$70)))-(INDEX($W$21:$W$40,$A73)+INDEX($W$21:$W$40,G$70))/2)^2))</f>
        <v>1</v>
      </c>
      <c r="H73" s="32" t="n">
        <f aca="false">IF($A73=H$70,0,IF(Input!$H$5="Nominal",1,(SUM(INDEX($W$21:$W$40,MIN($A73,H$70)):INDEX($W$21:$W$40,MAX($A73,H$70)))-(INDEX($W$21:$W$40,$A73)+INDEX($W$21:$W$40,H$70))/2)^2))</f>
        <v>1</v>
      </c>
      <c r="I73" s="32" t="n">
        <f aca="false">IF($A73=I$70,0,IF(Input!$H$5="Nominal",1,(SUM(INDEX($W$21:$W$40,MIN($A73,I$70)):INDEX($W$21:$W$40,MAX($A73,I$70)))-(INDEX($W$21:$W$40,$A73)+INDEX($W$21:$W$40,I$70))/2)^2))</f>
        <v>1</v>
      </c>
      <c r="J73" s="32" t="n">
        <f aca="false">IF($A73=J$70,0,IF(Input!$H$5="Nominal",1,(SUM(INDEX($W$21:$W$40,MIN($A73,J$70)):INDEX($W$21:$W$40,MAX($A73,J$70)))-(INDEX($W$21:$W$40,$A73)+INDEX($W$21:$W$40,J$70))/2)^2))</f>
        <v>1</v>
      </c>
      <c r="K73" s="32" t="n">
        <f aca="false">IF($A73=K$70,0,IF(Input!$H$5="Nominal",1,(SUM(INDEX($W$21:$W$40,MIN($A73,K$70)):INDEX($W$21:$W$40,MAX($A73,K$70)))-(INDEX($W$21:$W$40,$A73)+INDEX($W$21:$W$40,K$70))/2)^2))</f>
        <v>1</v>
      </c>
      <c r="L73" s="32" t="n">
        <f aca="false">IF($A73=L$70,0,IF(Input!$H$5="Nominal",1,(SUM(INDEX($W$21:$W$40,MIN($A73,L$70)):INDEX($W$21:$W$40,MAX($A73,L$70)))-(INDEX($W$21:$W$40,$A73)+INDEX($W$21:$W$40,L$70))/2)^2))</f>
        <v>1</v>
      </c>
      <c r="M73" s="32" t="n">
        <f aca="false">IF($A73=M$70,0,IF(Input!$H$5="Nominal",1,(SUM(INDEX($W$21:$W$40,MIN($A73,M$70)):INDEX($W$21:$W$40,MAX($A73,M$70)))-(INDEX($W$21:$W$40,$A73)+INDEX($W$21:$W$40,M$70))/2)^2))</f>
        <v>1</v>
      </c>
      <c r="N73" s="32" t="n">
        <f aca="false">IF($A73=N$70,0,IF(Input!$H$5="Nominal",1,(SUM(INDEX($W$21:$W$40,MIN($A73,N$70)):INDEX($W$21:$W$40,MAX($A73,N$70)))-(INDEX($W$21:$W$40,$A73)+INDEX($W$21:$W$40,N$70))/2)^2))</f>
        <v>1</v>
      </c>
      <c r="O73" s="32" t="n">
        <f aca="false">IF($A73=O$70,0,IF(Input!$H$5="Nominal",1,(SUM(INDEX($W$21:$W$40,MIN($A73,O$70)):INDEX($W$21:$W$40,MAX($A73,O$70)))-(INDEX($W$21:$W$40,$A73)+INDEX($W$21:$W$40,O$70))/2)^2))</f>
        <v>1</v>
      </c>
      <c r="P73" s="32" t="n">
        <f aca="false">IF($A73=P$70,0,IF(Input!$H$5="Nominal",1,(SUM(INDEX($W$21:$W$40,MIN($A73,P$70)):INDEX($W$21:$W$40,MAX($A73,P$70)))-(INDEX($W$21:$W$40,$A73)+INDEX($W$21:$W$40,P$70))/2)^2))</f>
        <v>1</v>
      </c>
      <c r="Q73" s="32" t="n">
        <f aca="false">IF($A73=Q$70,0,IF(Input!$H$5="Nominal",1,(SUM(INDEX($W$21:$W$40,MIN($A73,Q$70)):INDEX($W$21:$W$40,MAX($A73,Q$70)))-(INDEX($W$21:$W$40,$A73)+INDEX($W$21:$W$40,Q$70))/2)^2))</f>
        <v>1</v>
      </c>
      <c r="R73" s="32" t="n">
        <f aca="false">IF($A73=R$70,0,IF(Input!$H$5="Nominal",1,(SUM(INDEX($W$21:$W$40,MIN($A73,R$70)):INDEX($W$21:$W$40,MAX($A73,R$70)))-(INDEX($W$21:$W$40,$A73)+INDEX($W$21:$W$40,R$70))/2)^2))</f>
        <v>1</v>
      </c>
      <c r="S73" s="32" t="n">
        <f aca="false">IF($A73=S$70,0,IF(Input!$H$5="Nominal",1,(SUM(INDEX($W$21:$W$40,MIN($A73,S$70)):INDEX($W$21:$W$40,MAX($A73,S$70)))-(INDEX($W$21:$W$40,$A73)+INDEX($W$21:$W$40,S$70))/2)^2))</f>
        <v>1</v>
      </c>
      <c r="T73" s="32" t="n">
        <f aca="false">IF($A73=T$70,0,IF(Input!$H$5="Nominal",1,(SUM(INDEX($W$21:$W$40,MIN($A73,T$70)):INDEX($W$21:$W$40,MAX($A73,T$70)))-(INDEX($W$21:$W$40,$A73)+INDEX($W$21:$W$40,T$70))/2)^2))</f>
        <v>1</v>
      </c>
      <c r="U73" s="32" t="n">
        <f aca="false">IF($A73=U$70,0,IF(Input!$H$5="Nominal",1,(SUM(INDEX($W$21:$W$40,MIN($A73,U$70)):INDEX($W$21:$W$40,MAX($A73,U$70)))-(INDEX($W$21:$W$40,$A73)+INDEX($W$21:$W$40,U$70))/2)^2))</f>
        <v>1</v>
      </c>
      <c r="V73" s="32" t="n">
        <f aca="false">IF($A73=V$70,0,IF(Input!$H$5="Nominal",1,(SUM(INDEX($W$21:$W$40,MIN($A73,V$70)):INDEX($W$21:$W$40,MAX($A73,V$70)))-(INDEX($W$21:$W$40,$A73)+INDEX($W$21:$W$40,V$70))/2)^2))</f>
        <v>1</v>
      </c>
    </row>
    <row r="74" customFormat="false" ht="15" hidden="false" customHeight="false" outlineLevel="0" collapsed="false">
      <c r="A74" s="15" t="n">
        <v>3</v>
      </c>
      <c r="B74" s="15" t="str">
        <f aca="false">IF(Input!$H$12="","",Input!$H$12)</f>
        <v>K3</v>
      </c>
      <c r="C74" s="32" t="n">
        <f aca="false">IF($A74=C$70,0,IF(Input!$H$5="Nominal",1,(SUM(INDEX($W$21:$W$40,MIN($A74,C$70)):INDEX($W$21:$W$40,MAX($A74,C$70)))-(INDEX($W$21:$W$40,$A74)+INDEX($W$21:$W$40,C$70))/2)^2))</f>
        <v>1</v>
      </c>
      <c r="D74" s="32" t="n">
        <f aca="false">IF($A74=D$70,0,IF(Input!$H$5="Nominal",1,(SUM(INDEX($W$21:$W$40,MIN($A74,D$70)):INDEX($W$21:$W$40,MAX($A74,D$70)))-(INDEX($W$21:$W$40,$A74)+INDEX($W$21:$W$40,D$70))/2)^2))</f>
        <v>1</v>
      </c>
      <c r="E74" s="32" t="n">
        <f aca="false">IF($A74=E$70,0,IF(Input!$H$5="Nominal",1,(SUM(INDEX($W$21:$W$40,MIN($A74,E$70)):INDEX($W$21:$W$40,MAX($A74,E$70)))-(INDEX($W$21:$W$40,$A74)+INDEX($W$21:$W$40,E$70))/2)^2))</f>
        <v>0</v>
      </c>
      <c r="F74" s="32" t="n">
        <f aca="false">IF($A74=F$70,0,IF(Input!$H$5="Nominal",1,(SUM(INDEX($W$21:$W$40,MIN($A74,F$70)):INDEX($W$21:$W$40,MAX($A74,F$70)))-(INDEX($W$21:$W$40,$A74)+INDEX($W$21:$W$40,F$70))/2)^2))</f>
        <v>1</v>
      </c>
      <c r="G74" s="32" t="n">
        <f aca="false">IF($A74=G$70,0,IF(Input!$H$5="Nominal",1,(SUM(INDEX($W$21:$W$40,MIN($A74,G$70)):INDEX($W$21:$W$40,MAX($A74,G$70)))-(INDEX($W$21:$W$40,$A74)+INDEX($W$21:$W$40,G$70))/2)^2))</f>
        <v>1</v>
      </c>
      <c r="H74" s="32" t="n">
        <f aca="false">IF($A74=H$70,0,IF(Input!$H$5="Nominal",1,(SUM(INDEX($W$21:$W$40,MIN($A74,H$70)):INDEX($W$21:$W$40,MAX($A74,H$70)))-(INDEX($W$21:$W$40,$A74)+INDEX($W$21:$W$40,H$70))/2)^2))</f>
        <v>1</v>
      </c>
      <c r="I74" s="32" t="n">
        <f aca="false">IF($A74=I$70,0,IF(Input!$H$5="Nominal",1,(SUM(INDEX($W$21:$W$40,MIN($A74,I$70)):INDEX($W$21:$W$40,MAX($A74,I$70)))-(INDEX($W$21:$W$40,$A74)+INDEX($W$21:$W$40,I$70))/2)^2))</f>
        <v>1</v>
      </c>
      <c r="J74" s="32" t="n">
        <f aca="false">IF($A74=J$70,0,IF(Input!$H$5="Nominal",1,(SUM(INDEX($W$21:$W$40,MIN($A74,J$70)):INDEX($W$21:$W$40,MAX($A74,J$70)))-(INDEX($W$21:$W$40,$A74)+INDEX($W$21:$W$40,J$70))/2)^2))</f>
        <v>1</v>
      </c>
      <c r="K74" s="32" t="n">
        <f aca="false">IF($A74=K$70,0,IF(Input!$H$5="Nominal",1,(SUM(INDEX($W$21:$W$40,MIN($A74,K$70)):INDEX($W$21:$W$40,MAX($A74,K$70)))-(INDEX($W$21:$W$40,$A74)+INDEX($W$21:$W$40,K$70))/2)^2))</f>
        <v>1</v>
      </c>
      <c r="L74" s="32" t="n">
        <f aca="false">IF($A74=L$70,0,IF(Input!$H$5="Nominal",1,(SUM(INDEX($W$21:$W$40,MIN($A74,L$70)):INDEX($W$21:$W$40,MAX($A74,L$70)))-(INDEX($W$21:$W$40,$A74)+INDEX($W$21:$W$40,L$70))/2)^2))</f>
        <v>1</v>
      </c>
      <c r="M74" s="32" t="n">
        <f aca="false">IF($A74=M$70,0,IF(Input!$H$5="Nominal",1,(SUM(INDEX($W$21:$W$40,MIN($A74,M$70)):INDEX($W$21:$W$40,MAX($A74,M$70)))-(INDEX($W$21:$W$40,$A74)+INDEX($W$21:$W$40,M$70))/2)^2))</f>
        <v>1</v>
      </c>
      <c r="N74" s="32" t="n">
        <f aca="false">IF($A74=N$70,0,IF(Input!$H$5="Nominal",1,(SUM(INDEX($W$21:$W$40,MIN($A74,N$70)):INDEX($W$21:$W$40,MAX($A74,N$70)))-(INDEX($W$21:$W$40,$A74)+INDEX($W$21:$W$40,N$70))/2)^2))</f>
        <v>1</v>
      </c>
      <c r="O74" s="32" t="n">
        <f aca="false">IF($A74=O$70,0,IF(Input!$H$5="Nominal",1,(SUM(INDEX($W$21:$W$40,MIN($A74,O$70)):INDEX($W$21:$W$40,MAX($A74,O$70)))-(INDEX($W$21:$W$40,$A74)+INDEX($W$21:$W$40,O$70))/2)^2))</f>
        <v>1</v>
      </c>
      <c r="P74" s="32" t="n">
        <f aca="false">IF($A74=P$70,0,IF(Input!$H$5="Nominal",1,(SUM(INDEX($W$21:$W$40,MIN($A74,P$70)):INDEX($W$21:$W$40,MAX($A74,P$70)))-(INDEX($W$21:$W$40,$A74)+INDEX($W$21:$W$40,P$70))/2)^2))</f>
        <v>1</v>
      </c>
      <c r="Q74" s="32" t="n">
        <f aca="false">IF($A74=Q$70,0,IF(Input!$H$5="Nominal",1,(SUM(INDEX($W$21:$W$40,MIN($A74,Q$70)):INDEX($W$21:$W$40,MAX($A74,Q$70)))-(INDEX($W$21:$W$40,$A74)+INDEX($W$21:$W$40,Q$70))/2)^2))</f>
        <v>1</v>
      </c>
      <c r="R74" s="32" t="n">
        <f aca="false">IF($A74=R$70,0,IF(Input!$H$5="Nominal",1,(SUM(INDEX($W$21:$W$40,MIN($A74,R$70)):INDEX($W$21:$W$40,MAX($A74,R$70)))-(INDEX($W$21:$W$40,$A74)+INDEX($W$21:$W$40,R$70))/2)^2))</f>
        <v>1</v>
      </c>
      <c r="S74" s="32" t="n">
        <f aca="false">IF($A74=S$70,0,IF(Input!$H$5="Nominal",1,(SUM(INDEX($W$21:$W$40,MIN($A74,S$70)):INDEX($W$21:$W$40,MAX($A74,S$70)))-(INDEX($W$21:$W$40,$A74)+INDEX($W$21:$W$40,S$70))/2)^2))</f>
        <v>1</v>
      </c>
      <c r="T74" s="32" t="n">
        <f aca="false">IF($A74=T$70,0,IF(Input!$H$5="Nominal",1,(SUM(INDEX($W$21:$W$40,MIN($A74,T$70)):INDEX($W$21:$W$40,MAX($A74,T$70)))-(INDEX($W$21:$W$40,$A74)+INDEX($W$21:$W$40,T$70))/2)^2))</f>
        <v>1</v>
      </c>
      <c r="U74" s="32" t="n">
        <f aca="false">IF($A74=U$70,0,IF(Input!$H$5="Nominal",1,(SUM(INDEX($W$21:$W$40,MIN($A74,U$70)):INDEX($W$21:$W$40,MAX($A74,U$70)))-(INDEX($W$21:$W$40,$A74)+INDEX($W$21:$W$40,U$70))/2)^2))</f>
        <v>1</v>
      </c>
      <c r="V74" s="32" t="n">
        <f aca="false">IF($A74=V$70,0,IF(Input!$H$5="Nominal",1,(SUM(INDEX($W$21:$W$40,MIN($A74,V$70)):INDEX($W$21:$W$40,MAX($A74,V$70)))-(INDEX($W$21:$W$40,$A74)+INDEX($W$21:$W$40,V$70))/2)^2))</f>
        <v>1</v>
      </c>
    </row>
    <row r="75" customFormat="false" ht="15" hidden="false" customHeight="false" outlineLevel="0" collapsed="false">
      <c r="A75" s="15" t="n">
        <v>4</v>
      </c>
      <c r="B75" s="15" t="str">
        <f aca="false">IF(Input!$H$13="","",Input!$H$13)</f>
        <v>K4</v>
      </c>
      <c r="C75" s="32" t="n">
        <f aca="false">IF($A75=C$70,0,IF(Input!$H$5="Nominal",1,(SUM(INDEX($W$21:$W$40,MIN($A75,C$70)):INDEX($W$21:$W$40,MAX($A75,C$70)))-(INDEX($W$21:$W$40,$A75)+INDEX($W$21:$W$40,C$70))/2)^2))</f>
        <v>1</v>
      </c>
      <c r="D75" s="32" t="n">
        <f aca="false">IF($A75=D$70,0,IF(Input!$H$5="Nominal",1,(SUM(INDEX($W$21:$W$40,MIN($A75,D$70)):INDEX($W$21:$W$40,MAX($A75,D$70)))-(INDEX($W$21:$W$40,$A75)+INDEX($W$21:$W$40,D$70))/2)^2))</f>
        <v>1</v>
      </c>
      <c r="E75" s="32" t="n">
        <f aca="false">IF($A75=E$70,0,IF(Input!$H$5="Nominal",1,(SUM(INDEX($W$21:$W$40,MIN($A75,E$70)):INDEX($W$21:$W$40,MAX($A75,E$70)))-(INDEX($W$21:$W$40,$A75)+INDEX($W$21:$W$40,E$70))/2)^2))</f>
        <v>1</v>
      </c>
      <c r="F75" s="32" t="n">
        <f aca="false">IF($A75=F$70,0,IF(Input!$H$5="Nominal",1,(SUM(INDEX($W$21:$W$40,MIN($A75,F$70)):INDEX($W$21:$W$40,MAX($A75,F$70)))-(INDEX($W$21:$W$40,$A75)+INDEX($W$21:$W$40,F$70))/2)^2))</f>
        <v>0</v>
      </c>
      <c r="G75" s="32" t="n">
        <f aca="false">IF($A75=G$70,0,IF(Input!$H$5="Nominal",1,(SUM(INDEX($W$21:$W$40,MIN($A75,G$70)):INDEX($W$21:$W$40,MAX($A75,G$70)))-(INDEX($W$21:$W$40,$A75)+INDEX($W$21:$W$40,G$70))/2)^2))</f>
        <v>1</v>
      </c>
      <c r="H75" s="32" t="n">
        <f aca="false">IF($A75=H$70,0,IF(Input!$H$5="Nominal",1,(SUM(INDEX($W$21:$W$40,MIN($A75,H$70)):INDEX($W$21:$W$40,MAX($A75,H$70)))-(INDEX($W$21:$W$40,$A75)+INDEX($W$21:$W$40,H$70))/2)^2))</f>
        <v>1</v>
      </c>
      <c r="I75" s="32" t="n">
        <f aca="false">IF($A75=I$70,0,IF(Input!$H$5="Nominal",1,(SUM(INDEX($W$21:$W$40,MIN($A75,I$70)):INDEX($W$21:$W$40,MAX($A75,I$70)))-(INDEX($W$21:$W$40,$A75)+INDEX($W$21:$W$40,I$70))/2)^2))</f>
        <v>1</v>
      </c>
      <c r="J75" s="32" t="n">
        <f aca="false">IF($A75=J$70,0,IF(Input!$H$5="Nominal",1,(SUM(INDEX($W$21:$W$40,MIN($A75,J$70)):INDEX($W$21:$W$40,MAX($A75,J$70)))-(INDEX($W$21:$W$40,$A75)+INDEX($W$21:$W$40,J$70))/2)^2))</f>
        <v>1</v>
      </c>
      <c r="K75" s="32" t="n">
        <f aca="false">IF($A75=K$70,0,IF(Input!$H$5="Nominal",1,(SUM(INDEX($W$21:$W$40,MIN($A75,K$70)):INDEX($W$21:$W$40,MAX($A75,K$70)))-(INDEX($W$21:$W$40,$A75)+INDEX($W$21:$W$40,K$70))/2)^2))</f>
        <v>1</v>
      </c>
      <c r="L75" s="32" t="n">
        <f aca="false">IF($A75=L$70,0,IF(Input!$H$5="Nominal",1,(SUM(INDEX($W$21:$W$40,MIN($A75,L$70)):INDEX($W$21:$W$40,MAX($A75,L$70)))-(INDEX($W$21:$W$40,$A75)+INDEX($W$21:$W$40,L$70))/2)^2))</f>
        <v>1</v>
      </c>
      <c r="M75" s="32" t="n">
        <f aca="false">IF($A75=M$70,0,IF(Input!$H$5="Nominal",1,(SUM(INDEX($W$21:$W$40,MIN($A75,M$70)):INDEX($W$21:$W$40,MAX($A75,M$70)))-(INDEX($W$21:$W$40,$A75)+INDEX($W$21:$W$40,M$70))/2)^2))</f>
        <v>1</v>
      </c>
      <c r="N75" s="32" t="n">
        <f aca="false">IF($A75=N$70,0,IF(Input!$H$5="Nominal",1,(SUM(INDEX($W$21:$W$40,MIN($A75,N$70)):INDEX($W$21:$W$40,MAX($A75,N$70)))-(INDEX($W$21:$W$40,$A75)+INDEX($W$21:$W$40,N$70))/2)^2))</f>
        <v>1</v>
      </c>
      <c r="O75" s="32" t="n">
        <f aca="false">IF($A75=O$70,0,IF(Input!$H$5="Nominal",1,(SUM(INDEX($W$21:$W$40,MIN($A75,O$70)):INDEX($W$21:$W$40,MAX($A75,O$70)))-(INDEX($W$21:$W$40,$A75)+INDEX($W$21:$W$40,O$70))/2)^2))</f>
        <v>1</v>
      </c>
      <c r="P75" s="32" t="n">
        <f aca="false">IF($A75=P$70,0,IF(Input!$H$5="Nominal",1,(SUM(INDEX($W$21:$W$40,MIN($A75,P$70)):INDEX($W$21:$W$40,MAX($A75,P$70)))-(INDEX($W$21:$W$40,$A75)+INDEX($W$21:$W$40,P$70))/2)^2))</f>
        <v>1</v>
      </c>
      <c r="Q75" s="32" t="n">
        <f aca="false">IF($A75=Q$70,0,IF(Input!$H$5="Nominal",1,(SUM(INDEX($W$21:$W$40,MIN($A75,Q$70)):INDEX($W$21:$W$40,MAX($A75,Q$70)))-(INDEX($W$21:$W$40,$A75)+INDEX($W$21:$W$40,Q$70))/2)^2))</f>
        <v>1</v>
      </c>
      <c r="R75" s="32" t="n">
        <f aca="false">IF($A75=R$70,0,IF(Input!$H$5="Nominal",1,(SUM(INDEX($W$21:$W$40,MIN($A75,R$70)):INDEX($W$21:$W$40,MAX($A75,R$70)))-(INDEX($W$21:$W$40,$A75)+INDEX($W$21:$W$40,R$70))/2)^2))</f>
        <v>1</v>
      </c>
      <c r="S75" s="32" t="n">
        <f aca="false">IF($A75=S$70,0,IF(Input!$H$5="Nominal",1,(SUM(INDEX($W$21:$W$40,MIN($A75,S$70)):INDEX($W$21:$W$40,MAX($A75,S$70)))-(INDEX($W$21:$W$40,$A75)+INDEX($W$21:$W$40,S$70))/2)^2))</f>
        <v>1</v>
      </c>
      <c r="T75" s="32" t="n">
        <f aca="false">IF($A75=T$70,0,IF(Input!$H$5="Nominal",1,(SUM(INDEX($W$21:$W$40,MIN($A75,T$70)):INDEX($W$21:$W$40,MAX($A75,T$70)))-(INDEX($W$21:$W$40,$A75)+INDEX($W$21:$W$40,T$70))/2)^2))</f>
        <v>1</v>
      </c>
      <c r="U75" s="32" t="n">
        <f aca="false">IF($A75=U$70,0,IF(Input!$H$5="Nominal",1,(SUM(INDEX($W$21:$W$40,MIN($A75,U$70)):INDEX($W$21:$W$40,MAX($A75,U$70)))-(INDEX($W$21:$W$40,$A75)+INDEX($W$21:$W$40,U$70))/2)^2))</f>
        <v>1</v>
      </c>
      <c r="V75" s="32" t="n">
        <f aca="false">IF($A75=V$70,0,IF(Input!$H$5="Nominal",1,(SUM(INDEX($W$21:$W$40,MIN($A75,V$70)):INDEX($W$21:$W$40,MAX($A75,V$70)))-(INDEX($W$21:$W$40,$A75)+INDEX($W$21:$W$40,V$70))/2)^2))</f>
        <v>1</v>
      </c>
    </row>
    <row r="76" customFormat="false" ht="15" hidden="false" customHeight="false" outlineLevel="0" collapsed="false">
      <c r="A76" s="15" t="n">
        <v>5</v>
      </c>
      <c r="B76" s="15" t="str">
        <f aca="false">IF(Input!$H$14="","",Input!$H$14)</f>
        <v>K5</v>
      </c>
      <c r="C76" s="32" t="n">
        <f aca="false">IF($A76=C$70,0,IF(Input!$H$5="Nominal",1,(SUM(INDEX($W$21:$W$40,MIN($A76,C$70)):INDEX($W$21:$W$40,MAX($A76,C$70)))-(INDEX($W$21:$W$40,$A76)+INDEX($W$21:$W$40,C$70))/2)^2))</f>
        <v>1</v>
      </c>
      <c r="D76" s="32" t="n">
        <f aca="false">IF($A76=D$70,0,IF(Input!$H$5="Nominal",1,(SUM(INDEX($W$21:$W$40,MIN($A76,D$70)):INDEX($W$21:$W$40,MAX($A76,D$70)))-(INDEX($W$21:$W$40,$A76)+INDEX($W$21:$W$40,D$70))/2)^2))</f>
        <v>1</v>
      </c>
      <c r="E76" s="32" t="n">
        <f aca="false">IF($A76=E$70,0,IF(Input!$H$5="Nominal",1,(SUM(INDEX($W$21:$W$40,MIN($A76,E$70)):INDEX($W$21:$W$40,MAX($A76,E$70)))-(INDEX($W$21:$W$40,$A76)+INDEX($W$21:$W$40,E$70))/2)^2))</f>
        <v>1</v>
      </c>
      <c r="F76" s="32" t="n">
        <f aca="false">IF($A76=F$70,0,IF(Input!$H$5="Nominal",1,(SUM(INDEX($W$21:$W$40,MIN($A76,F$70)):INDEX($W$21:$W$40,MAX($A76,F$70)))-(INDEX($W$21:$W$40,$A76)+INDEX($W$21:$W$40,F$70))/2)^2))</f>
        <v>1</v>
      </c>
      <c r="G76" s="32" t="n">
        <f aca="false">IF($A76=G$70,0,IF(Input!$H$5="Nominal",1,(SUM(INDEX($W$21:$W$40,MIN($A76,G$70)):INDEX($W$21:$W$40,MAX($A76,G$70)))-(INDEX($W$21:$W$40,$A76)+INDEX($W$21:$W$40,G$70))/2)^2))</f>
        <v>0</v>
      </c>
      <c r="H76" s="32" t="n">
        <f aca="false">IF($A76=H$70,0,IF(Input!$H$5="Nominal",1,(SUM(INDEX($W$21:$W$40,MIN($A76,H$70)):INDEX($W$21:$W$40,MAX($A76,H$70)))-(INDEX($W$21:$W$40,$A76)+INDEX($W$21:$W$40,H$70))/2)^2))</f>
        <v>1</v>
      </c>
      <c r="I76" s="32" t="n">
        <f aca="false">IF($A76=I$70,0,IF(Input!$H$5="Nominal",1,(SUM(INDEX($W$21:$W$40,MIN($A76,I$70)):INDEX($W$21:$W$40,MAX($A76,I$70)))-(INDEX($W$21:$W$40,$A76)+INDEX($W$21:$W$40,I$70))/2)^2))</f>
        <v>1</v>
      </c>
      <c r="J76" s="32" t="n">
        <f aca="false">IF($A76=J$70,0,IF(Input!$H$5="Nominal",1,(SUM(INDEX($W$21:$W$40,MIN($A76,J$70)):INDEX($W$21:$W$40,MAX($A76,J$70)))-(INDEX($W$21:$W$40,$A76)+INDEX($W$21:$W$40,J$70))/2)^2))</f>
        <v>1</v>
      </c>
      <c r="K76" s="32" t="n">
        <f aca="false">IF($A76=K$70,0,IF(Input!$H$5="Nominal",1,(SUM(INDEX($W$21:$W$40,MIN($A76,K$70)):INDEX($W$21:$W$40,MAX($A76,K$70)))-(INDEX($W$21:$W$40,$A76)+INDEX($W$21:$W$40,K$70))/2)^2))</f>
        <v>1</v>
      </c>
      <c r="L76" s="32" t="n">
        <f aca="false">IF($A76=L$70,0,IF(Input!$H$5="Nominal",1,(SUM(INDEX($W$21:$W$40,MIN($A76,L$70)):INDEX($W$21:$W$40,MAX($A76,L$70)))-(INDEX($W$21:$W$40,$A76)+INDEX($W$21:$W$40,L$70))/2)^2))</f>
        <v>1</v>
      </c>
      <c r="M76" s="32" t="n">
        <f aca="false">IF($A76=M$70,0,IF(Input!$H$5="Nominal",1,(SUM(INDEX($W$21:$W$40,MIN($A76,M$70)):INDEX($W$21:$W$40,MAX($A76,M$70)))-(INDEX($W$21:$W$40,$A76)+INDEX($W$21:$W$40,M$70))/2)^2))</f>
        <v>1</v>
      </c>
      <c r="N76" s="32" t="n">
        <f aca="false">IF($A76=N$70,0,IF(Input!$H$5="Nominal",1,(SUM(INDEX($W$21:$W$40,MIN($A76,N$70)):INDEX($W$21:$W$40,MAX($A76,N$70)))-(INDEX($W$21:$W$40,$A76)+INDEX($W$21:$W$40,N$70))/2)^2))</f>
        <v>1</v>
      </c>
      <c r="O76" s="32" t="n">
        <f aca="false">IF($A76=O$70,0,IF(Input!$H$5="Nominal",1,(SUM(INDEX($W$21:$W$40,MIN($A76,O$70)):INDEX($W$21:$W$40,MAX($A76,O$70)))-(INDEX($W$21:$W$40,$A76)+INDEX($W$21:$W$40,O$70))/2)^2))</f>
        <v>1</v>
      </c>
      <c r="P76" s="32" t="n">
        <f aca="false">IF($A76=P$70,0,IF(Input!$H$5="Nominal",1,(SUM(INDEX($W$21:$W$40,MIN($A76,P$70)):INDEX($W$21:$W$40,MAX($A76,P$70)))-(INDEX($W$21:$W$40,$A76)+INDEX($W$21:$W$40,P$70))/2)^2))</f>
        <v>1</v>
      </c>
      <c r="Q76" s="32" t="n">
        <f aca="false">IF($A76=Q$70,0,IF(Input!$H$5="Nominal",1,(SUM(INDEX($W$21:$W$40,MIN($A76,Q$70)):INDEX($W$21:$W$40,MAX($A76,Q$70)))-(INDEX($W$21:$W$40,$A76)+INDEX($W$21:$W$40,Q$70))/2)^2))</f>
        <v>1</v>
      </c>
      <c r="R76" s="32" t="n">
        <f aca="false">IF($A76=R$70,0,IF(Input!$H$5="Nominal",1,(SUM(INDEX($W$21:$W$40,MIN($A76,R$70)):INDEX($W$21:$W$40,MAX($A76,R$70)))-(INDEX($W$21:$W$40,$A76)+INDEX($W$21:$W$40,R$70))/2)^2))</f>
        <v>1</v>
      </c>
      <c r="S76" s="32" t="n">
        <f aca="false">IF($A76=S$70,0,IF(Input!$H$5="Nominal",1,(SUM(INDEX($W$21:$W$40,MIN($A76,S$70)):INDEX($W$21:$W$40,MAX($A76,S$70)))-(INDEX($W$21:$W$40,$A76)+INDEX($W$21:$W$40,S$70))/2)^2))</f>
        <v>1</v>
      </c>
      <c r="T76" s="32" t="n">
        <f aca="false">IF($A76=T$70,0,IF(Input!$H$5="Nominal",1,(SUM(INDEX($W$21:$W$40,MIN($A76,T$70)):INDEX($W$21:$W$40,MAX($A76,T$70)))-(INDEX($W$21:$W$40,$A76)+INDEX($W$21:$W$40,T$70))/2)^2))</f>
        <v>1</v>
      </c>
      <c r="U76" s="32" t="n">
        <f aca="false">IF($A76=U$70,0,IF(Input!$H$5="Nominal",1,(SUM(INDEX($W$21:$W$40,MIN($A76,U$70)):INDEX($W$21:$W$40,MAX($A76,U$70)))-(INDEX($W$21:$W$40,$A76)+INDEX($W$21:$W$40,U$70))/2)^2))</f>
        <v>1</v>
      </c>
      <c r="V76" s="32" t="n">
        <f aca="false">IF($A76=V$70,0,IF(Input!$H$5="Nominal",1,(SUM(INDEX($W$21:$W$40,MIN($A76,V$70)):INDEX($W$21:$W$40,MAX($A76,V$70)))-(INDEX($W$21:$W$40,$A76)+INDEX($W$21:$W$40,V$70))/2)^2))</f>
        <v>1</v>
      </c>
    </row>
    <row r="77" customFormat="false" ht="15" hidden="false" customHeight="false" outlineLevel="0" collapsed="false">
      <c r="A77" s="15" t="n">
        <v>6</v>
      </c>
      <c r="B77" s="15" t="str">
        <f aca="false">IF(Input!$H$15="","",Input!$H$15)</f>
        <v/>
      </c>
      <c r="C77" s="32" t="n">
        <f aca="false">IF($A77=C$70,0,IF(Input!$H$5="Nominal",1,(SUM(INDEX($W$21:$W$40,MIN($A77,C$70)):INDEX($W$21:$W$40,MAX($A77,C$70)))-(INDEX($W$21:$W$40,$A77)+INDEX($W$21:$W$40,C$70))/2)^2))</f>
        <v>1</v>
      </c>
      <c r="D77" s="32" t="n">
        <f aca="false">IF($A77=D$70,0,IF(Input!$H$5="Nominal",1,(SUM(INDEX($W$21:$W$40,MIN($A77,D$70)):INDEX($W$21:$W$40,MAX($A77,D$70)))-(INDEX($W$21:$W$40,$A77)+INDEX($W$21:$W$40,D$70))/2)^2))</f>
        <v>1</v>
      </c>
      <c r="E77" s="32" t="n">
        <f aca="false">IF($A77=E$70,0,IF(Input!$H$5="Nominal",1,(SUM(INDEX($W$21:$W$40,MIN($A77,E$70)):INDEX($W$21:$W$40,MAX($A77,E$70)))-(INDEX($W$21:$W$40,$A77)+INDEX($W$21:$W$40,E$70))/2)^2))</f>
        <v>1</v>
      </c>
      <c r="F77" s="32" t="n">
        <f aca="false">IF($A77=F$70,0,IF(Input!$H$5="Nominal",1,(SUM(INDEX($W$21:$W$40,MIN($A77,F$70)):INDEX($W$21:$W$40,MAX($A77,F$70)))-(INDEX($W$21:$W$40,$A77)+INDEX($W$21:$W$40,F$70))/2)^2))</f>
        <v>1</v>
      </c>
      <c r="G77" s="32" t="n">
        <f aca="false">IF($A77=G$70,0,IF(Input!$H$5="Nominal",1,(SUM(INDEX($W$21:$W$40,MIN($A77,G$70)):INDEX($W$21:$W$40,MAX($A77,G$70)))-(INDEX($W$21:$W$40,$A77)+INDEX($W$21:$W$40,G$70))/2)^2))</f>
        <v>1</v>
      </c>
      <c r="H77" s="32" t="n">
        <f aca="false">IF($A77=H$70,0,IF(Input!$H$5="Nominal",1,(SUM(INDEX($W$21:$W$40,MIN($A77,H$70)):INDEX($W$21:$W$40,MAX($A77,H$70)))-(INDEX($W$21:$W$40,$A77)+INDEX($W$21:$W$40,H$70))/2)^2))</f>
        <v>0</v>
      </c>
      <c r="I77" s="32" t="n">
        <f aca="false">IF($A77=I$70,0,IF(Input!$H$5="Nominal",1,(SUM(INDEX($W$21:$W$40,MIN($A77,I$70)):INDEX($W$21:$W$40,MAX($A77,I$70)))-(INDEX($W$21:$W$40,$A77)+INDEX($W$21:$W$40,I$70))/2)^2))</f>
        <v>1</v>
      </c>
      <c r="J77" s="32" t="n">
        <f aca="false">IF($A77=J$70,0,IF(Input!$H$5="Nominal",1,(SUM(INDEX($W$21:$W$40,MIN($A77,J$70)):INDEX($W$21:$W$40,MAX($A77,J$70)))-(INDEX($W$21:$W$40,$A77)+INDEX($W$21:$W$40,J$70))/2)^2))</f>
        <v>1</v>
      </c>
      <c r="K77" s="32" t="n">
        <f aca="false">IF($A77=K$70,0,IF(Input!$H$5="Nominal",1,(SUM(INDEX($W$21:$W$40,MIN($A77,K$70)):INDEX($W$21:$W$40,MAX($A77,K$70)))-(INDEX($W$21:$W$40,$A77)+INDEX($W$21:$W$40,K$70))/2)^2))</f>
        <v>1</v>
      </c>
      <c r="L77" s="32" t="n">
        <f aca="false">IF($A77=L$70,0,IF(Input!$H$5="Nominal",1,(SUM(INDEX($W$21:$W$40,MIN($A77,L$70)):INDEX($W$21:$W$40,MAX($A77,L$70)))-(INDEX($W$21:$W$40,$A77)+INDEX($W$21:$W$40,L$70))/2)^2))</f>
        <v>1</v>
      </c>
      <c r="M77" s="32" t="n">
        <f aca="false">IF($A77=M$70,0,IF(Input!$H$5="Nominal",1,(SUM(INDEX($W$21:$W$40,MIN($A77,M$70)):INDEX($W$21:$W$40,MAX($A77,M$70)))-(INDEX($W$21:$W$40,$A77)+INDEX($W$21:$W$40,M$70))/2)^2))</f>
        <v>1</v>
      </c>
      <c r="N77" s="32" t="n">
        <f aca="false">IF($A77=N$70,0,IF(Input!$H$5="Nominal",1,(SUM(INDEX($W$21:$W$40,MIN($A77,N$70)):INDEX($W$21:$W$40,MAX($A77,N$70)))-(INDEX($W$21:$W$40,$A77)+INDEX($W$21:$W$40,N$70))/2)^2))</f>
        <v>1</v>
      </c>
      <c r="O77" s="32" t="n">
        <f aca="false">IF($A77=O$70,0,IF(Input!$H$5="Nominal",1,(SUM(INDEX($W$21:$W$40,MIN($A77,O$70)):INDEX($W$21:$W$40,MAX($A77,O$70)))-(INDEX($W$21:$W$40,$A77)+INDEX($W$21:$W$40,O$70))/2)^2))</f>
        <v>1</v>
      </c>
      <c r="P77" s="32" t="n">
        <f aca="false">IF($A77=P$70,0,IF(Input!$H$5="Nominal",1,(SUM(INDEX($W$21:$W$40,MIN($A77,P$70)):INDEX($W$21:$W$40,MAX($A77,P$70)))-(INDEX($W$21:$W$40,$A77)+INDEX($W$21:$W$40,P$70))/2)^2))</f>
        <v>1</v>
      </c>
      <c r="Q77" s="32" t="n">
        <f aca="false">IF($A77=Q$70,0,IF(Input!$H$5="Nominal",1,(SUM(INDEX($W$21:$W$40,MIN($A77,Q$70)):INDEX($W$21:$W$40,MAX($A77,Q$70)))-(INDEX($W$21:$W$40,$A77)+INDEX($W$21:$W$40,Q$70))/2)^2))</f>
        <v>1</v>
      </c>
      <c r="R77" s="32" t="n">
        <f aca="false">IF($A77=R$70,0,IF(Input!$H$5="Nominal",1,(SUM(INDEX($W$21:$W$40,MIN($A77,R$70)):INDEX($W$21:$W$40,MAX($A77,R$70)))-(INDEX($W$21:$W$40,$A77)+INDEX($W$21:$W$40,R$70))/2)^2))</f>
        <v>1</v>
      </c>
      <c r="S77" s="32" t="n">
        <f aca="false">IF($A77=S$70,0,IF(Input!$H$5="Nominal",1,(SUM(INDEX($W$21:$W$40,MIN($A77,S$70)):INDEX($W$21:$W$40,MAX($A77,S$70)))-(INDEX($W$21:$W$40,$A77)+INDEX($W$21:$W$40,S$70))/2)^2))</f>
        <v>1</v>
      </c>
      <c r="T77" s="32" t="n">
        <f aca="false">IF($A77=T$70,0,IF(Input!$H$5="Nominal",1,(SUM(INDEX($W$21:$W$40,MIN($A77,T$70)):INDEX($W$21:$W$40,MAX($A77,T$70)))-(INDEX($W$21:$W$40,$A77)+INDEX($W$21:$W$40,T$70))/2)^2))</f>
        <v>1</v>
      </c>
      <c r="U77" s="32" t="n">
        <f aca="false">IF($A77=U$70,0,IF(Input!$H$5="Nominal",1,(SUM(INDEX($W$21:$W$40,MIN($A77,U$70)):INDEX($W$21:$W$40,MAX($A77,U$70)))-(INDEX($W$21:$W$40,$A77)+INDEX($W$21:$W$40,U$70))/2)^2))</f>
        <v>1</v>
      </c>
      <c r="V77" s="32" t="n">
        <f aca="false">IF($A77=V$70,0,IF(Input!$H$5="Nominal",1,(SUM(INDEX($W$21:$W$40,MIN($A77,V$70)):INDEX($W$21:$W$40,MAX($A77,V$70)))-(INDEX($W$21:$W$40,$A77)+INDEX($W$21:$W$40,V$70))/2)^2))</f>
        <v>1</v>
      </c>
    </row>
    <row r="78" customFormat="false" ht="15" hidden="false" customHeight="false" outlineLevel="0" collapsed="false">
      <c r="A78" s="15" t="n">
        <v>7</v>
      </c>
      <c r="B78" s="15" t="str">
        <f aca="false">IF(Input!$H$16="","",Input!$H$16)</f>
        <v/>
      </c>
      <c r="C78" s="32" t="n">
        <f aca="false">IF($A78=C$70,0,IF(Input!$H$5="Nominal",1,(SUM(INDEX($W$21:$W$40,MIN($A78,C$70)):INDEX($W$21:$W$40,MAX($A78,C$70)))-(INDEX($W$21:$W$40,$A78)+INDEX($W$21:$W$40,C$70))/2)^2))</f>
        <v>1</v>
      </c>
      <c r="D78" s="32" t="n">
        <f aca="false">IF($A78=D$70,0,IF(Input!$H$5="Nominal",1,(SUM(INDEX($W$21:$W$40,MIN($A78,D$70)):INDEX($W$21:$W$40,MAX($A78,D$70)))-(INDEX($W$21:$W$40,$A78)+INDEX($W$21:$W$40,D$70))/2)^2))</f>
        <v>1</v>
      </c>
      <c r="E78" s="32" t="n">
        <f aca="false">IF($A78=E$70,0,IF(Input!$H$5="Nominal",1,(SUM(INDEX($W$21:$W$40,MIN($A78,E$70)):INDEX($W$21:$W$40,MAX($A78,E$70)))-(INDEX($W$21:$W$40,$A78)+INDEX($W$21:$W$40,E$70))/2)^2))</f>
        <v>1</v>
      </c>
      <c r="F78" s="32" t="n">
        <f aca="false">IF($A78=F$70,0,IF(Input!$H$5="Nominal",1,(SUM(INDEX($W$21:$W$40,MIN($A78,F$70)):INDEX($W$21:$W$40,MAX($A78,F$70)))-(INDEX($W$21:$W$40,$A78)+INDEX($W$21:$W$40,F$70))/2)^2))</f>
        <v>1</v>
      </c>
      <c r="G78" s="32" t="n">
        <f aca="false">IF($A78=G$70,0,IF(Input!$H$5="Nominal",1,(SUM(INDEX($W$21:$W$40,MIN($A78,G$70)):INDEX($W$21:$W$40,MAX($A78,G$70)))-(INDEX($W$21:$W$40,$A78)+INDEX($W$21:$W$40,G$70))/2)^2))</f>
        <v>1</v>
      </c>
      <c r="H78" s="32" t="n">
        <f aca="false">IF($A78=H$70,0,IF(Input!$H$5="Nominal",1,(SUM(INDEX($W$21:$W$40,MIN($A78,H$70)):INDEX($W$21:$W$40,MAX($A78,H$70)))-(INDEX($W$21:$W$40,$A78)+INDEX($W$21:$W$40,H$70))/2)^2))</f>
        <v>1</v>
      </c>
      <c r="I78" s="32" t="n">
        <f aca="false">IF($A78=I$70,0,IF(Input!$H$5="Nominal",1,(SUM(INDEX($W$21:$W$40,MIN($A78,I$70)):INDEX($W$21:$W$40,MAX($A78,I$70)))-(INDEX($W$21:$W$40,$A78)+INDEX($W$21:$W$40,I$70))/2)^2))</f>
        <v>0</v>
      </c>
      <c r="J78" s="32" t="n">
        <f aca="false">IF($A78=J$70,0,IF(Input!$H$5="Nominal",1,(SUM(INDEX($W$21:$W$40,MIN($A78,J$70)):INDEX($W$21:$W$40,MAX($A78,J$70)))-(INDEX($W$21:$W$40,$A78)+INDEX($W$21:$W$40,J$70))/2)^2))</f>
        <v>1</v>
      </c>
      <c r="K78" s="32" t="n">
        <f aca="false">IF($A78=K$70,0,IF(Input!$H$5="Nominal",1,(SUM(INDEX($W$21:$W$40,MIN($A78,K$70)):INDEX($W$21:$W$40,MAX($A78,K$70)))-(INDEX($W$21:$W$40,$A78)+INDEX($W$21:$W$40,K$70))/2)^2))</f>
        <v>1</v>
      </c>
      <c r="L78" s="32" t="n">
        <f aca="false">IF($A78=L$70,0,IF(Input!$H$5="Nominal",1,(SUM(INDEX($W$21:$W$40,MIN($A78,L$70)):INDEX($W$21:$W$40,MAX($A78,L$70)))-(INDEX($W$21:$W$40,$A78)+INDEX($W$21:$W$40,L$70))/2)^2))</f>
        <v>1</v>
      </c>
      <c r="M78" s="32" t="n">
        <f aca="false">IF($A78=M$70,0,IF(Input!$H$5="Nominal",1,(SUM(INDEX($W$21:$W$40,MIN($A78,M$70)):INDEX($W$21:$W$40,MAX($A78,M$70)))-(INDEX($W$21:$W$40,$A78)+INDEX($W$21:$W$40,M$70))/2)^2))</f>
        <v>1</v>
      </c>
      <c r="N78" s="32" t="n">
        <f aca="false">IF($A78=N$70,0,IF(Input!$H$5="Nominal",1,(SUM(INDEX($W$21:$W$40,MIN($A78,N$70)):INDEX($W$21:$W$40,MAX($A78,N$70)))-(INDEX($W$21:$W$40,$A78)+INDEX($W$21:$W$40,N$70))/2)^2))</f>
        <v>1</v>
      </c>
      <c r="O78" s="32" t="n">
        <f aca="false">IF($A78=O$70,0,IF(Input!$H$5="Nominal",1,(SUM(INDEX($W$21:$W$40,MIN($A78,O$70)):INDEX($W$21:$W$40,MAX($A78,O$70)))-(INDEX($W$21:$W$40,$A78)+INDEX($W$21:$W$40,O$70))/2)^2))</f>
        <v>1</v>
      </c>
      <c r="P78" s="32" t="n">
        <f aca="false">IF($A78=P$70,0,IF(Input!$H$5="Nominal",1,(SUM(INDEX($W$21:$W$40,MIN($A78,P$70)):INDEX($W$21:$W$40,MAX($A78,P$70)))-(INDEX($W$21:$W$40,$A78)+INDEX($W$21:$W$40,P$70))/2)^2))</f>
        <v>1</v>
      </c>
      <c r="Q78" s="32" t="n">
        <f aca="false">IF($A78=Q$70,0,IF(Input!$H$5="Nominal",1,(SUM(INDEX($W$21:$W$40,MIN($A78,Q$70)):INDEX($W$21:$W$40,MAX($A78,Q$70)))-(INDEX($W$21:$W$40,$A78)+INDEX($W$21:$W$40,Q$70))/2)^2))</f>
        <v>1</v>
      </c>
      <c r="R78" s="32" t="n">
        <f aca="false">IF($A78=R$70,0,IF(Input!$H$5="Nominal",1,(SUM(INDEX($W$21:$W$40,MIN($A78,R$70)):INDEX($W$21:$W$40,MAX($A78,R$70)))-(INDEX($W$21:$W$40,$A78)+INDEX($W$21:$W$40,R$70))/2)^2))</f>
        <v>1</v>
      </c>
      <c r="S78" s="32" t="n">
        <f aca="false">IF($A78=S$70,0,IF(Input!$H$5="Nominal",1,(SUM(INDEX($W$21:$W$40,MIN($A78,S$70)):INDEX($W$21:$W$40,MAX($A78,S$70)))-(INDEX($W$21:$W$40,$A78)+INDEX($W$21:$W$40,S$70))/2)^2))</f>
        <v>1</v>
      </c>
      <c r="T78" s="32" t="n">
        <f aca="false">IF($A78=T$70,0,IF(Input!$H$5="Nominal",1,(SUM(INDEX($W$21:$W$40,MIN($A78,T$70)):INDEX($W$21:$W$40,MAX($A78,T$70)))-(INDEX($W$21:$W$40,$A78)+INDEX($W$21:$W$40,T$70))/2)^2))</f>
        <v>1</v>
      </c>
      <c r="U78" s="32" t="n">
        <f aca="false">IF($A78=U$70,0,IF(Input!$H$5="Nominal",1,(SUM(INDEX($W$21:$W$40,MIN($A78,U$70)):INDEX($W$21:$W$40,MAX($A78,U$70)))-(INDEX($W$21:$W$40,$A78)+INDEX($W$21:$W$40,U$70))/2)^2))</f>
        <v>1</v>
      </c>
      <c r="V78" s="32" t="n">
        <f aca="false">IF($A78=V$70,0,IF(Input!$H$5="Nominal",1,(SUM(INDEX($W$21:$W$40,MIN($A78,V$70)):INDEX($W$21:$W$40,MAX($A78,V$70)))-(INDEX($W$21:$W$40,$A78)+INDEX($W$21:$W$40,V$70))/2)^2))</f>
        <v>1</v>
      </c>
    </row>
    <row r="79" customFormat="false" ht="15" hidden="false" customHeight="false" outlineLevel="0" collapsed="false">
      <c r="A79" s="15" t="n">
        <v>8</v>
      </c>
      <c r="B79" s="15" t="str">
        <f aca="false">IF(Input!$H$17="","",Input!$H$17)</f>
        <v/>
      </c>
      <c r="C79" s="32" t="n">
        <f aca="false">IF($A79=C$70,0,IF(Input!$H$5="Nominal",1,(SUM(INDEX($W$21:$W$40,MIN($A79,C$70)):INDEX($W$21:$W$40,MAX($A79,C$70)))-(INDEX($W$21:$W$40,$A79)+INDEX($W$21:$W$40,C$70))/2)^2))</f>
        <v>1</v>
      </c>
      <c r="D79" s="32" t="n">
        <f aca="false">IF($A79=D$70,0,IF(Input!$H$5="Nominal",1,(SUM(INDEX($W$21:$W$40,MIN($A79,D$70)):INDEX($W$21:$W$40,MAX($A79,D$70)))-(INDEX($W$21:$W$40,$A79)+INDEX($W$21:$W$40,D$70))/2)^2))</f>
        <v>1</v>
      </c>
      <c r="E79" s="32" t="n">
        <f aca="false">IF($A79=E$70,0,IF(Input!$H$5="Nominal",1,(SUM(INDEX($W$21:$W$40,MIN($A79,E$70)):INDEX($W$21:$W$40,MAX($A79,E$70)))-(INDEX($W$21:$W$40,$A79)+INDEX($W$21:$W$40,E$70))/2)^2))</f>
        <v>1</v>
      </c>
      <c r="F79" s="32" t="n">
        <f aca="false">IF($A79=F$70,0,IF(Input!$H$5="Nominal",1,(SUM(INDEX($W$21:$W$40,MIN($A79,F$70)):INDEX($W$21:$W$40,MAX($A79,F$70)))-(INDEX($W$21:$W$40,$A79)+INDEX($W$21:$W$40,F$70))/2)^2))</f>
        <v>1</v>
      </c>
      <c r="G79" s="32" t="n">
        <f aca="false">IF($A79=G$70,0,IF(Input!$H$5="Nominal",1,(SUM(INDEX($W$21:$W$40,MIN($A79,G$70)):INDEX($W$21:$W$40,MAX($A79,G$70)))-(INDEX($W$21:$W$40,$A79)+INDEX($W$21:$W$40,G$70))/2)^2))</f>
        <v>1</v>
      </c>
      <c r="H79" s="32" t="n">
        <f aca="false">IF($A79=H$70,0,IF(Input!$H$5="Nominal",1,(SUM(INDEX($W$21:$W$40,MIN($A79,H$70)):INDEX($W$21:$W$40,MAX($A79,H$70)))-(INDEX($W$21:$W$40,$A79)+INDEX($W$21:$W$40,H$70))/2)^2))</f>
        <v>1</v>
      </c>
      <c r="I79" s="32" t="n">
        <f aca="false">IF($A79=I$70,0,IF(Input!$H$5="Nominal",1,(SUM(INDEX($W$21:$W$40,MIN($A79,I$70)):INDEX($W$21:$W$40,MAX($A79,I$70)))-(INDEX($W$21:$W$40,$A79)+INDEX($W$21:$W$40,I$70))/2)^2))</f>
        <v>1</v>
      </c>
      <c r="J79" s="32" t="n">
        <f aca="false">IF($A79=J$70,0,IF(Input!$H$5="Nominal",1,(SUM(INDEX($W$21:$W$40,MIN($A79,J$70)):INDEX($W$21:$W$40,MAX($A79,J$70)))-(INDEX($W$21:$W$40,$A79)+INDEX($W$21:$W$40,J$70))/2)^2))</f>
        <v>0</v>
      </c>
      <c r="K79" s="32" t="n">
        <f aca="false">IF($A79=K$70,0,IF(Input!$H$5="Nominal",1,(SUM(INDEX($W$21:$W$40,MIN($A79,K$70)):INDEX($W$21:$W$40,MAX($A79,K$70)))-(INDEX($W$21:$W$40,$A79)+INDEX($W$21:$W$40,K$70))/2)^2))</f>
        <v>1</v>
      </c>
      <c r="L79" s="32" t="n">
        <f aca="false">IF($A79=L$70,0,IF(Input!$H$5="Nominal",1,(SUM(INDEX($W$21:$W$40,MIN($A79,L$70)):INDEX($W$21:$W$40,MAX($A79,L$70)))-(INDEX($W$21:$W$40,$A79)+INDEX($W$21:$W$40,L$70))/2)^2))</f>
        <v>1</v>
      </c>
      <c r="M79" s="32" t="n">
        <f aca="false">IF($A79=M$70,0,IF(Input!$H$5="Nominal",1,(SUM(INDEX($W$21:$W$40,MIN($A79,M$70)):INDEX($W$21:$W$40,MAX($A79,M$70)))-(INDEX($W$21:$W$40,$A79)+INDEX($W$21:$W$40,M$70))/2)^2))</f>
        <v>1</v>
      </c>
      <c r="N79" s="32" t="n">
        <f aca="false">IF($A79=N$70,0,IF(Input!$H$5="Nominal",1,(SUM(INDEX($W$21:$W$40,MIN($A79,N$70)):INDEX($W$21:$W$40,MAX($A79,N$70)))-(INDEX($W$21:$W$40,$A79)+INDEX($W$21:$W$40,N$70))/2)^2))</f>
        <v>1</v>
      </c>
      <c r="O79" s="32" t="n">
        <f aca="false">IF($A79=O$70,0,IF(Input!$H$5="Nominal",1,(SUM(INDEX($W$21:$W$40,MIN($A79,O$70)):INDEX($W$21:$W$40,MAX($A79,O$70)))-(INDEX($W$21:$W$40,$A79)+INDEX($W$21:$W$40,O$70))/2)^2))</f>
        <v>1</v>
      </c>
      <c r="P79" s="32" t="n">
        <f aca="false">IF($A79=P$70,0,IF(Input!$H$5="Nominal",1,(SUM(INDEX($W$21:$W$40,MIN($A79,P$70)):INDEX($W$21:$W$40,MAX($A79,P$70)))-(INDEX($W$21:$W$40,$A79)+INDEX($W$21:$W$40,P$70))/2)^2))</f>
        <v>1</v>
      </c>
      <c r="Q79" s="32" t="n">
        <f aca="false">IF($A79=Q$70,0,IF(Input!$H$5="Nominal",1,(SUM(INDEX($W$21:$W$40,MIN($A79,Q$70)):INDEX($W$21:$W$40,MAX($A79,Q$70)))-(INDEX($W$21:$W$40,$A79)+INDEX($W$21:$W$40,Q$70))/2)^2))</f>
        <v>1</v>
      </c>
      <c r="R79" s="32" t="n">
        <f aca="false">IF($A79=R$70,0,IF(Input!$H$5="Nominal",1,(SUM(INDEX($W$21:$W$40,MIN($A79,R$70)):INDEX($W$21:$W$40,MAX($A79,R$70)))-(INDEX($W$21:$W$40,$A79)+INDEX($W$21:$W$40,R$70))/2)^2))</f>
        <v>1</v>
      </c>
      <c r="S79" s="32" t="n">
        <f aca="false">IF($A79=S$70,0,IF(Input!$H$5="Nominal",1,(SUM(INDEX($W$21:$W$40,MIN($A79,S$70)):INDEX($W$21:$W$40,MAX($A79,S$70)))-(INDEX($W$21:$W$40,$A79)+INDEX($W$21:$W$40,S$70))/2)^2))</f>
        <v>1</v>
      </c>
      <c r="T79" s="32" t="n">
        <f aca="false">IF($A79=T$70,0,IF(Input!$H$5="Nominal",1,(SUM(INDEX($W$21:$W$40,MIN($A79,T$70)):INDEX($W$21:$W$40,MAX($A79,T$70)))-(INDEX($W$21:$W$40,$A79)+INDEX($W$21:$W$40,T$70))/2)^2))</f>
        <v>1</v>
      </c>
      <c r="U79" s="32" t="n">
        <f aca="false">IF($A79=U$70,0,IF(Input!$H$5="Nominal",1,(SUM(INDEX($W$21:$W$40,MIN($A79,U$70)):INDEX($W$21:$W$40,MAX($A79,U$70)))-(INDEX($W$21:$W$40,$A79)+INDEX($W$21:$W$40,U$70))/2)^2))</f>
        <v>1</v>
      </c>
      <c r="V79" s="32" t="n">
        <f aca="false">IF($A79=V$70,0,IF(Input!$H$5="Nominal",1,(SUM(INDEX($W$21:$W$40,MIN($A79,V$70)):INDEX($W$21:$W$40,MAX($A79,V$70)))-(INDEX($W$21:$W$40,$A79)+INDEX($W$21:$W$40,V$70))/2)^2))</f>
        <v>1</v>
      </c>
    </row>
    <row r="80" customFormat="false" ht="15" hidden="false" customHeight="false" outlineLevel="0" collapsed="false">
      <c r="A80" s="15" t="n">
        <v>9</v>
      </c>
      <c r="B80" s="15" t="str">
        <f aca="false">IF(Input!$H$18="","",Input!$H$18)</f>
        <v/>
      </c>
      <c r="C80" s="32" t="n">
        <f aca="false">IF($A80=C$70,0,IF(Input!$H$5="Nominal",1,(SUM(INDEX($W$21:$W$40,MIN($A80,C$70)):INDEX($W$21:$W$40,MAX($A80,C$70)))-(INDEX($W$21:$W$40,$A80)+INDEX($W$21:$W$40,C$70))/2)^2))</f>
        <v>1</v>
      </c>
      <c r="D80" s="32" t="n">
        <f aca="false">IF($A80=D$70,0,IF(Input!$H$5="Nominal",1,(SUM(INDEX($W$21:$W$40,MIN($A80,D$70)):INDEX($W$21:$W$40,MAX($A80,D$70)))-(INDEX($W$21:$W$40,$A80)+INDEX($W$21:$W$40,D$70))/2)^2))</f>
        <v>1</v>
      </c>
      <c r="E80" s="32" t="n">
        <f aca="false">IF($A80=E$70,0,IF(Input!$H$5="Nominal",1,(SUM(INDEX($W$21:$W$40,MIN($A80,E$70)):INDEX($W$21:$W$40,MAX($A80,E$70)))-(INDEX($W$21:$W$40,$A80)+INDEX($W$21:$W$40,E$70))/2)^2))</f>
        <v>1</v>
      </c>
      <c r="F80" s="32" t="n">
        <f aca="false">IF($A80=F$70,0,IF(Input!$H$5="Nominal",1,(SUM(INDEX($W$21:$W$40,MIN($A80,F$70)):INDEX($W$21:$W$40,MAX($A80,F$70)))-(INDEX($W$21:$W$40,$A80)+INDEX($W$21:$W$40,F$70))/2)^2))</f>
        <v>1</v>
      </c>
      <c r="G80" s="32" t="n">
        <f aca="false">IF($A80=G$70,0,IF(Input!$H$5="Nominal",1,(SUM(INDEX($W$21:$W$40,MIN($A80,G$70)):INDEX($W$21:$W$40,MAX($A80,G$70)))-(INDEX($W$21:$W$40,$A80)+INDEX($W$21:$W$40,G$70))/2)^2))</f>
        <v>1</v>
      </c>
      <c r="H80" s="32" t="n">
        <f aca="false">IF($A80=H$70,0,IF(Input!$H$5="Nominal",1,(SUM(INDEX($W$21:$W$40,MIN($A80,H$70)):INDEX($W$21:$W$40,MAX($A80,H$70)))-(INDEX($W$21:$W$40,$A80)+INDEX($W$21:$W$40,H$70))/2)^2))</f>
        <v>1</v>
      </c>
      <c r="I80" s="32" t="n">
        <f aca="false">IF($A80=I$70,0,IF(Input!$H$5="Nominal",1,(SUM(INDEX($W$21:$W$40,MIN($A80,I$70)):INDEX($W$21:$W$40,MAX($A80,I$70)))-(INDEX($W$21:$W$40,$A80)+INDEX($W$21:$W$40,I$70))/2)^2))</f>
        <v>1</v>
      </c>
      <c r="J80" s="32" t="n">
        <f aca="false">IF($A80=J$70,0,IF(Input!$H$5="Nominal",1,(SUM(INDEX($W$21:$W$40,MIN($A80,J$70)):INDEX($W$21:$W$40,MAX($A80,J$70)))-(INDEX($W$21:$W$40,$A80)+INDEX($W$21:$W$40,J$70))/2)^2))</f>
        <v>1</v>
      </c>
      <c r="K80" s="32" t="n">
        <f aca="false">IF($A80=K$70,0,IF(Input!$H$5="Nominal",1,(SUM(INDEX($W$21:$W$40,MIN($A80,K$70)):INDEX($W$21:$W$40,MAX($A80,K$70)))-(INDEX($W$21:$W$40,$A80)+INDEX($W$21:$W$40,K$70))/2)^2))</f>
        <v>0</v>
      </c>
      <c r="L80" s="32" t="n">
        <f aca="false">IF($A80=L$70,0,IF(Input!$H$5="Nominal",1,(SUM(INDEX($W$21:$W$40,MIN($A80,L$70)):INDEX($W$21:$W$40,MAX($A80,L$70)))-(INDEX($W$21:$W$40,$A80)+INDEX($W$21:$W$40,L$70))/2)^2))</f>
        <v>1</v>
      </c>
      <c r="M80" s="32" t="n">
        <f aca="false">IF($A80=M$70,0,IF(Input!$H$5="Nominal",1,(SUM(INDEX($W$21:$W$40,MIN($A80,M$70)):INDEX($W$21:$W$40,MAX($A80,M$70)))-(INDEX($W$21:$W$40,$A80)+INDEX($W$21:$W$40,M$70))/2)^2))</f>
        <v>1</v>
      </c>
      <c r="N80" s="32" t="n">
        <f aca="false">IF($A80=N$70,0,IF(Input!$H$5="Nominal",1,(SUM(INDEX($W$21:$W$40,MIN($A80,N$70)):INDEX($W$21:$W$40,MAX($A80,N$70)))-(INDEX($W$21:$W$40,$A80)+INDEX($W$21:$W$40,N$70))/2)^2))</f>
        <v>1</v>
      </c>
      <c r="O80" s="32" t="n">
        <f aca="false">IF($A80=O$70,0,IF(Input!$H$5="Nominal",1,(SUM(INDEX($W$21:$W$40,MIN($A80,O$70)):INDEX($W$21:$W$40,MAX($A80,O$70)))-(INDEX($W$21:$W$40,$A80)+INDEX($W$21:$W$40,O$70))/2)^2))</f>
        <v>1</v>
      </c>
      <c r="P80" s="32" t="n">
        <f aca="false">IF($A80=P$70,0,IF(Input!$H$5="Nominal",1,(SUM(INDEX($W$21:$W$40,MIN($A80,P$70)):INDEX($W$21:$W$40,MAX($A80,P$70)))-(INDEX($W$21:$W$40,$A80)+INDEX($W$21:$W$40,P$70))/2)^2))</f>
        <v>1</v>
      </c>
      <c r="Q80" s="32" t="n">
        <f aca="false">IF($A80=Q$70,0,IF(Input!$H$5="Nominal",1,(SUM(INDEX($W$21:$W$40,MIN($A80,Q$70)):INDEX($W$21:$W$40,MAX($A80,Q$70)))-(INDEX($W$21:$W$40,$A80)+INDEX($W$21:$W$40,Q$70))/2)^2))</f>
        <v>1</v>
      </c>
      <c r="R80" s="32" t="n">
        <f aca="false">IF($A80=R$70,0,IF(Input!$H$5="Nominal",1,(SUM(INDEX($W$21:$W$40,MIN($A80,R$70)):INDEX($W$21:$W$40,MAX($A80,R$70)))-(INDEX($W$21:$W$40,$A80)+INDEX($W$21:$W$40,R$70))/2)^2))</f>
        <v>1</v>
      </c>
      <c r="S80" s="32" t="n">
        <f aca="false">IF($A80=S$70,0,IF(Input!$H$5="Nominal",1,(SUM(INDEX($W$21:$W$40,MIN($A80,S$70)):INDEX($W$21:$W$40,MAX($A80,S$70)))-(INDEX($W$21:$W$40,$A80)+INDEX($W$21:$W$40,S$70))/2)^2))</f>
        <v>1</v>
      </c>
      <c r="T80" s="32" t="n">
        <f aca="false">IF($A80=T$70,0,IF(Input!$H$5="Nominal",1,(SUM(INDEX($W$21:$W$40,MIN($A80,T$70)):INDEX($W$21:$W$40,MAX($A80,T$70)))-(INDEX($W$21:$W$40,$A80)+INDEX($W$21:$W$40,T$70))/2)^2))</f>
        <v>1</v>
      </c>
      <c r="U80" s="32" t="n">
        <f aca="false">IF($A80=U$70,0,IF(Input!$H$5="Nominal",1,(SUM(INDEX($W$21:$W$40,MIN($A80,U$70)):INDEX($W$21:$W$40,MAX($A80,U$70)))-(INDEX($W$21:$W$40,$A80)+INDEX($W$21:$W$40,U$70))/2)^2))</f>
        <v>1</v>
      </c>
      <c r="V80" s="32" t="n">
        <f aca="false">IF($A80=V$70,0,IF(Input!$H$5="Nominal",1,(SUM(INDEX($W$21:$W$40,MIN($A80,V$70)):INDEX($W$21:$W$40,MAX($A80,V$70)))-(INDEX($W$21:$W$40,$A80)+INDEX($W$21:$W$40,V$70))/2)^2))</f>
        <v>1</v>
      </c>
    </row>
    <row r="81" customFormat="false" ht="15" hidden="false" customHeight="false" outlineLevel="0" collapsed="false">
      <c r="A81" s="15" t="n">
        <v>10</v>
      </c>
      <c r="B81" s="15" t="str">
        <f aca="false">IF(Input!$H$19="","",Input!$H$19)</f>
        <v/>
      </c>
      <c r="C81" s="32" t="n">
        <f aca="false">IF($A81=C$70,0,IF(Input!$H$5="Nominal",1,(SUM(INDEX($W$21:$W$40,MIN($A81,C$70)):INDEX($W$21:$W$40,MAX($A81,C$70)))-(INDEX($W$21:$W$40,$A81)+INDEX($W$21:$W$40,C$70))/2)^2))</f>
        <v>1</v>
      </c>
      <c r="D81" s="32" t="n">
        <f aca="false">IF($A81=D$70,0,IF(Input!$H$5="Nominal",1,(SUM(INDEX($W$21:$W$40,MIN($A81,D$70)):INDEX($W$21:$W$40,MAX($A81,D$70)))-(INDEX($W$21:$W$40,$A81)+INDEX($W$21:$W$40,D$70))/2)^2))</f>
        <v>1</v>
      </c>
      <c r="E81" s="32" t="n">
        <f aca="false">IF($A81=E$70,0,IF(Input!$H$5="Nominal",1,(SUM(INDEX($W$21:$W$40,MIN($A81,E$70)):INDEX($W$21:$W$40,MAX($A81,E$70)))-(INDEX($W$21:$W$40,$A81)+INDEX($W$21:$W$40,E$70))/2)^2))</f>
        <v>1</v>
      </c>
      <c r="F81" s="32" t="n">
        <f aca="false">IF($A81=F$70,0,IF(Input!$H$5="Nominal",1,(SUM(INDEX($W$21:$W$40,MIN($A81,F$70)):INDEX($W$21:$W$40,MAX($A81,F$70)))-(INDEX($W$21:$W$40,$A81)+INDEX($W$21:$W$40,F$70))/2)^2))</f>
        <v>1</v>
      </c>
      <c r="G81" s="32" t="n">
        <f aca="false">IF($A81=G$70,0,IF(Input!$H$5="Nominal",1,(SUM(INDEX($W$21:$W$40,MIN($A81,G$70)):INDEX($W$21:$W$40,MAX($A81,G$70)))-(INDEX($W$21:$W$40,$A81)+INDEX($W$21:$W$40,G$70))/2)^2))</f>
        <v>1</v>
      </c>
      <c r="H81" s="32" t="n">
        <f aca="false">IF($A81=H$70,0,IF(Input!$H$5="Nominal",1,(SUM(INDEX($W$21:$W$40,MIN($A81,H$70)):INDEX($W$21:$W$40,MAX($A81,H$70)))-(INDEX($W$21:$W$40,$A81)+INDEX($W$21:$W$40,H$70))/2)^2))</f>
        <v>1</v>
      </c>
      <c r="I81" s="32" t="n">
        <f aca="false">IF($A81=I$70,0,IF(Input!$H$5="Nominal",1,(SUM(INDEX($W$21:$W$40,MIN($A81,I$70)):INDEX($W$21:$W$40,MAX($A81,I$70)))-(INDEX($W$21:$W$40,$A81)+INDEX($W$21:$W$40,I$70))/2)^2))</f>
        <v>1</v>
      </c>
      <c r="J81" s="32" t="n">
        <f aca="false">IF($A81=J$70,0,IF(Input!$H$5="Nominal",1,(SUM(INDEX($W$21:$W$40,MIN($A81,J$70)):INDEX($W$21:$W$40,MAX($A81,J$70)))-(INDEX($W$21:$W$40,$A81)+INDEX($W$21:$W$40,J$70))/2)^2))</f>
        <v>1</v>
      </c>
      <c r="K81" s="32" t="n">
        <f aca="false">IF($A81=K$70,0,IF(Input!$H$5="Nominal",1,(SUM(INDEX($W$21:$W$40,MIN($A81,K$70)):INDEX($W$21:$W$40,MAX($A81,K$70)))-(INDEX($W$21:$W$40,$A81)+INDEX($W$21:$W$40,K$70))/2)^2))</f>
        <v>1</v>
      </c>
      <c r="L81" s="32" t="n">
        <f aca="false">IF($A81=L$70,0,IF(Input!$H$5="Nominal",1,(SUM(INDEX($W$21:$W$40,MIN($A81,L$70)):INDEX($W$21:$W$40,MAX($A81,L$70)))-(INDEX($W$21:$W$40,$A81)+INDEX($W$21:$W$40,L$70))/2)^2))</f>
        <v>0</v>
      </c>
      <c r="M81" s="32" t="n">
        <f aca="false">IF($A81=M$70,0,IF(Input!$H$5="Nominal",1,(SUM(INDEX($W$21:$W$40,MIN($A81,M$70)):INDEX($W$21:$W$40,MAX($A81,M$70)))-(INDEX($W$21:$W$40,$A81)+INDEX($W$21:$W$40,M$70))/2)^2))</f>
        <v>1</v>
      </c>
      <c r="N81" s="32" t="n">
        <f aca="false">IF($A81=N$70,0,IF(Input!$H$5="Nominal",1,(SUM(INDEX($W$21:$W$40,MIN($A81,N$70)):INDEX($W$21:$W$40,MAX($A81,N$70)))-(INDEX($W$21:$W$40,$A81)+INDEX($W$21:$W$40,N$70))/2)^2))</f>
        <v>1</v>
      </c>
      <c r="O81" s="32" t="n">
        <f aca="false">IF($A81=O$70,0,IF(Input!$H$5="Nominal",1,(SUM(INDEX($W$21:$W$40,MIN($A81,O$70)):INDEX($W$21:$W$40,MAX($A81,O$70)))-(INDEX($W$21:$W$40,$A81)+INDEX($W$21:$W$40,O$70))/2)^2))</f>
        <v>1</v>
      </c>
      <c r="P81" s="32" t="n">
        <f aca="false">IF($A81=P$70,0,IF(Input!$H$5="Nominal",1,(SUM(INDEX($W$21:$W$40,MIN($A81,P$70)):INDEX($W$21:$W$40,MAX($A81,P$70)))-(INDEX($W$21:$W$40,$A81)+INDEX($W$21:$W$40,P$70))/2)^2))</f>
        <v>1</v>
      </c>
      <c r="Q81" s="32" t="n">
        <f aca="false">IF($A81=Q$70,0,IF(Input!$H$5="Nominal",1,(SUM(INDEX($W$21:$W$40,MIN($A81,Q$70)):INDEX($W$21:$W$40,MAX($A81,Q$70)))-(INDEX($W$21:$W$40,$A81)+INDEX($W$21:$W$40,Q$70))/2)^2))</f>
        <v>1</v>
      </c>
      <c r="R81" s="32" t="n">
        <f aca="false">IF($A81=R$70,0,IF(Input!$H$5="Nominal",1,(SUM(INDEX($W$21:$W$40,MIN($A81,R$70)):INDEX($W$21:$W$40,MAX($A81,R$70)))-(INDEX($W$21:$W$40,$A81)+INDEX($W$21:$W$40,R$70))/2)^2))</f>
        <v>1</v>
      </c>
      <c r="S81" s="32" t="n">
        <f aca="false">IF($A81=S$70,0,IF(Input!$H$5="Nominal",1,(SUM(INDEX($W$21:$W$40,MIN($A81,S$70)):INDEX($W$21:$W$40,MAX($A81,S$70)))-(INDEX($W$21:$W$40,$A81)+INDEX($W$21:$W$40,S$70))/2)^2))</f>
        <v>1</v>
      </c>
      <c r="T81" s="32" t="n">
        <f aca="false">IF($A81=T$70,0,IF(Input!$H$5="Nominal",1,(SUM(INDEX($W$21:$W$40,MIN($A81,T$70)):INDEX($W$21:$W$40,MAX($A81,T$70)))-(INDEX($W$21:$W$40,$A81)+INDEX($W$21:$W$40,T$70))/2)^2))</f>
        <v>1</v>
      </c>
      <c r="U81" s="32" t="n">
        <f aca="false">IF($A81=U$70,0,IF(Input!$H$5="Nominal",1,(SUM(INDEX($W$21:$W$40,MIN($A81,U$70)):INDEX($W$21:$W$40,MAX($A81,U$70)))-(INDEX($W$21:$W$40,$A81)+INDEX($W$21:$W$40,U$70))/2)^2))</f>
        <v>1</v>
      </c>
      <c r="V81" s="32" t="n">
        <f aca="false">IF($A81=V$70,0,IF(Input!$H$5="Nominal",1,(SUM(INDEX($W$21:$W$40,MIN($A81,V$70)):INDEX($W$21:$W$40,MAX($A81,V$70)))-(INDEX($W$21:$W$40,$A81)+INDEX($W$21:$W$40,V$70))/2)^2))</f>
        <v>1</v>
      </c>
    </row>
    <row r="82" customFormat="false" ht="15" hidden="false" customHeight="false" outlineLevel="0" collapsed="false">
      <c r="A82" s="15" t="n">
        <v>11</v>
      </c>
      <c r="B82" s="15" t="str">
        <f aca="false">IF(Input!$H$20="","",Input!$H$20)</f>
        <v/>
      </c>
      <c r="C82" s="32" t="n">
        <f aca="false">IF($A82=C$70,0,IF(Input!$H$5="Nominal",1,(SUM(INDEX($W$21:$W$40,MIN($A82,C$70)):INDEX($W$21:$W$40,MAX($A82,C$70)))-(INDEX($W$21:$W$40,$A82)+INDEX($W$21:$W$40,C$70))/2)^2))</f>
        <v>1</v>
      </c>
      <c r="D82" s="32" t="n">
        <f aca="false">IF($A82=D$70,0,IF(Input!$H$5="Nominal",1,(SUM(INDEX($W$21:$W$40,MIN($A82,D$70)):INDEX($W$21:$W$40,MAX($A82,D$70)))-(INDEX($W$21:$W$40,$A82)+INDEX($W$21:$W$40,D$70))/2)^2))</f>
        <v>1</v>
      </c>
      <c r="E82" s="32" t="n">
        <f aca="false">IF($A82=E$70,0,IF(Input!$H$5="Nominal",1,(SUM(INDEX($W$21:$W$40,MIN($A82,E$70)):INDEX($W$21:$W$40,MAX($A82,E$70)))-(INDEX($W$21:$W$40,$A82)+INDEX($W$21:$W$40,E$70))/2)^2))</f>
        <v>1</v>
      </c>
      <c r="F82" s="32" t="n">
        <f aca="false">IF($A82=F$70,0,IF(Input!$H$5="Nominal",1,(SUM(INDEX($W$21:$W$40,MIN($A82,F$70)):INDEX($W$21:$W$40,MAX($A82,F$70)))-(INDEX($W$21:$W$40,$A82)+INDEX($W$21:$W$40,F$70))/2)^2))</f>
        <v>1</v>
      </c>
      <c r="G82" s="32" t="n">
        <f aca="false">IF($A82=G$70,0,IF(Input!$H$5="Nominal",1,(SUM(INDEX($W$21:$W$40,MIN($A82,G$70)):INDEX($W$21:$W$40,MAX($A82,G$70)))-(INDEX($W$21:$W$40,$A82)+INDEX($W$21:$W$40,G$70))/2)^2))</f>
        <v>1</v>
      </c>
      <c r="H82" s="32" t="n">
        <f aca="false">IF($A82=H$70,0,IF(Input!$H$5="Nominal",1,(SUM(INDEX($W$21:$W$40,MIN($A82,H$70)):INDEX($W$21:$W$40,MAX($A82,H$70)))-(INDEX($W$21:$W$40,$A82)+INDEX($W$21:$W$40,H$70))/2)^2))</f>
        <v>1</v>
      </c>
      <c r="I82" s="32" t="n">
        <f aca="false">IF($A82=I$70,0,IF(Input!$H$5="Nominal",1,(SUM(INDEX($W$21:$W$40,MIN($A82,I$70)):INDEX($W$21:$W$40,MAX($A82,I$70)))-(INDEX($W$21:$W$40,$A82)+INDEX($W$21:$W$40,I$70))/2)^2))</f>
        <v>1</v>
      </c>
      <c r="J82" s="32" t="n">
        <f aca="false">IF($A82=J$70,0,IF(Input!$H$5="Nominal",1,(SUM(INDEX($W$21:$W$40,MIN($A82,J$70)):INDEX($W$21:$W$40,MAX($A82,J$70)))-(INDEX($W$21:$W$40,$A82)+INDEX($W$21:$W$40,J$70))/2)^2))</f>
        <v>1</v>
      </c>
      <c r="K82" s="32" t="n">
        <f aca="false">IF($A82=K$70,0,IF(Input!$H$5="Nominal",1,(SUM(INDEX($W$21:$W$40,MIN($A82,K$70)):INDEX($W$21:$W$40,MAX($A82,K$70)))-(INDEX($W$21:$W$40,$A82)+INDEX($W$21:$W$40,K$70))/2)^2))</f>
        <v>1</v>
      </c>
      <c r="L82" s="32" t="n">
        <f aca="false">IF($A82=L$70,0,IF(Input!$H$5="Nominal",1,(SUM(INDEX($W$21:$W$40,MIN($A82,L$70)):INDEX($W$21:$W$40,MAX($A82,L$70)))-(INDEX($W$21:$W$40,$A82)+INDEX($W$21:$W$40,L$70))/2)^2))</f>
        <v>1</v>
      </c>
      <c r="M82" s="32" t="n">
        <f aca="false">IF($A82=M$70,0,IF(Input!$H$5="Nominal",1,(SUM(INDEX($W$21:$W$40,MIN($A82,M$70)):INDEX($W$21:$W$40,MAX($A82,M$70)))-(INDEX($W$21:$W$40,$A82)+INDEX($W$21:$W$40,M$70))/2)^2))</f>
        <v>0</v>
      </c>
      <c r="N82" s="32" t="n">
        <f aca="false">IF($A82=N$70,0,IF(Input!$H$5="Nominal",1,(SUM(INDEX($W$21:$W$40,MIN($A82,N$70)):INDEX($W$21:$W$40,MAX($A82,N$70)))-(INDEX($W$21:$W$40,$A82)+INDEX($W$21:$W$40,N$70))/2)^2))</f>
        <v>1</v>
      </c>
      <c r="O82" s="32" t="n">
        <f aca="false">IF($A82=O$70,0,IF(Input!$H$5="Nominal",1,(SUM(INDEX($W$21:$W$40,MIN($A82,O$70)):INDEX($W$21:$W$40,MAX($A82,O$70)))-(INDEX($W$21:$W$40,$A82)+INDEX($W$21:$W$40,O$70))/2)^2))</f>
        <v>1</v>
      </c>
      <c r="P82" s="32" t="n">
        <f aca="false">IF($A82=P$70,0,IF(Input!$H$5="Nominal",1,(SUM(INDEX($W$21:$W$40,MIN($A82,P$70)):INDEX($W$21:$W$40,MAX($A82,P$70)))-(INDEX($W$21:$W$40,$A82)+INDEX($W$21:$W$40,P$70))/2)^2))</f>
        <v>1</v>
      </c>
      <c r="Q82" s="32" t="n">
        <f aca="false">IF($A82=Q$70,0,IF(Input!$H$5="Nominal",1,(SUM(INDEX($W$21:$W$40,MIN($A82,Q$70)):INDEX($W$21:$W$40,MAX($A82,Q$70)))-(INDEX($W$21:$W$40,$A82)+INDEX($W$21:$W$40,Q$70))/2)^2))</f>
        <v>1</v>
      </c>
      <c r="R82" s="32" t="n">
        <f aca="false">IF($A82=R$70,0,IF(Input!$H$5="Nominal",1,(SUM(INDEX($W$21:$W$40,MIN($A82,R$70)):INDEX($W$21:$W$40,MAX($A82,R$70)))-(INDEX($W$21:$W$40,$A82)+INDEX($W$21:$W$40,R$70))/2)^2))</f>
        <v>1</v>
      </c>
      <c r="S82" s="32" t="n">
        <f aca="false">IF($A82=S$70,0,IF(Input!$H$5="Nominal",1,(SUM(INDEX($W$21:$W$40,MIN($A82,S$70)):INDEX($W$21:$W$40,MAX($A82,S$70)))-(INDEX($W$21:$W$40,$A82)+INDEX($W$21:$W$40,S$70))/2)^2))</f>
        <v>1</v>
      </c>
      <c r="T82" s="32" t="n">
        <f aca="false">IF($A82=T$70,0,IF(Input!$H$5="Nominal",1,(SUM(INDEX($W$21:$W$40,MIN($A82,T$70)):INDEX($W$21:$W$40,MAX($A82,T$70)))-(INDEX($W$21:$W$40,$A82)+INDEX($W$21:$W$40,T$70))/2)^2))</f>
        <v>1</v>
      </c>
      <c r="U82" s="32" t="n">
        <f aca="false">IF($A82=U$70,0,IF(Input!$H$5="Nominal",1,(SUM(INDEX($W$21:$W$40,MIN($A82,U$70)):INDEX($W$21:$W$40,MAX($A82,U$70)))-(INDEX($W$21:$W$40,$A82)+INDEX($W$21:$W$40,U$70))/2)^2))</f>
        <v>1</v>
      </c>
      <c r="V82" s="32" t="n">
        <f aca="false">IF($A82=V$70,0,IF(Input!$H$5="Nominal",1,(SUM(INDEX($W$21:$W$40,MIN($A82,V$70)):INDEX($W$21:$W$40,MAX($A82,V$70)))-(INDEX($W$21:$W$40,$A82)+INDEX($W$21:$W$40,V$70))/2)^2))</f>
        <v>1</v>
      </c>
    </row>
    <row r="83" customFormat="false" ht="15" hidden="false" customHeight="false" outlineLevel="0" collapsed="false">
      <c r="A83" s="15" t="n">
        <v>12</v>
      </c>
      <c r="B83" s="15" t="str">
        <f aca="false">IF(Input!$H$21="","",Input!$H$21)</f>
        <v/>
      </c>
      <c r="C83" s="32" t="n">
        <f aca="false">IF($A83=C$70,0,IF(Input!$H$5="Nominal",1,(SUM(INDEX($W$21:$W$40,MIN($A83,C$70)):INDEX($W$21:$W$40,MAX($A83,C$70)))-(INDEX($W$21:$W$40,$A83)+INDEX($W$21:$W$40,C$70))/2)^2))</f>
        <v>1</v>
      </c>
      <c r="D83" s="32" t="n">
        <f aca="false">IF($A83=D$70,0,IF(Input!$H$5="Nominal",1,(SUM(INDEX($W$21:$W$40,MIN($A83,D$70)):INDEX($W$21:$W$40,MAX($A83,D$70)))-(INDEX($W$21:$W$40,$A83)+INDEX($W$21:$W$40,D$70))/2)^2))</f>
        <v>1</v>
      </c>
      <c r="E83" s="32" t="n">
        <f aca="false">IF($A83=E$70,0,IF(Input!$H$5="Nominal",1,(SUM(INDEX($W$21:$W$40,MIN($A83,E$70)):INDEX($W$21:$W$40,MAX($A83,E$70)))-(INDEX($W$21:$W$40,$A83)+INDEX($W$21:$W$40,E$70))/2)^2))</f>
        <v>1</v>
      </c>
      <c r="F83" s="32" t="n">
        <f aca="false">IF($A83=F$70,0,IF(Input!$H$5="Nominal",1,(SUM(INDEX($W$21:$W$40,MIN($A83,F$70)):INDEX($W$21:$W$40,MAX($A83,F$70)))-(INDEX($W$21:$W$40,$A83)+INDEX($W$21:$W$40,F$70))/2)^2))</f>
        <v>1</v>
      </c>
      <c r="G83" s="32" t="n">
        <f aca="false">IF($A83=G$70,0,IF(Input!$H$5="Nominal",1,(SUM(INDEX($W$21:$W$40,MIN($A83,G$70)):INDEX($W$21:$W$40,MAX($A83,G$70)))-(INDEX($W$21:$W$40,$A83)+INDEX($W$21:$W$40,G$70))/2)^2))</f>
        <v>1</v>
      </c>
      <c r="H83" s="32" t="n">
        <f aca="false">IF($A83=H$70,0,IF(Input!$H$5="Nominal",1,(SUM(INDEX($W$21:$W$40,MIN($A83,H$70)):INDEX($W$21:$W$40,MAX($A83,H$70)))-(INDEX($W$21:$W$40,$A83)+INDEX($W$21:$W$40,H$70))/2)^2))</f>
        <v>1</v>
      </c>
      <c r="I83" s="32" t="n">
        <f aca="false">IF($A83=I$70,0,IF(Input!$H$5="Nominal",1,(SUM(INDEX($W$21:$W$40,MIN($A83,I$70)):INDEX($W$21:$W$40,MAX($A83,I$70)))-(INDEX($W$21:$W$40,$A83)+INDEX($W$21:$W$40,I$70))/2)^2))</f>
        <v>1</v>
      </c>
      <c r="J83" s="32" t="n">
        <f aca="false">IF($A83=J$70,0,IF(Input!$H$5="Nominal",1,(SUM(INDEX($W$21:$W$40,MIN($A83,J$70)):INDEX($W$21:$W$40,MAX($A83,J$70)))-(INDEX($W$21:$W$40,$A83)+INDEX($W$21:$W$40,J$70))/2)^2))</f>
        <v>1</v>
      </c>
      <c r="K83" s="32" t="n">
        <f aca="false">IF($A83=K$70,0,IF(Input!$H$5="Nominal",1,(SUM(INDEX($W$21:$W$40,MIN($A83,K$70)):INDEX($W$21:$W$40,MAX($A83,K$70)))-(INDEX($W$21:$W$40,$A83)+INDEX($W$21:$W$40,K$70))/2)^2))</f>
        <v>1</v>
      </c>
      <c r="L83" s="32" t="n">
        <f aca="false">IF($A83=L$70,0,IF(Input!$H$5="Nominal",1,(SUM(INDEX($W$21:$W$40,MIN($A83,L$70)):INDEX($W$21:$W$40,MAX($A83,L$70)))-(INDEX($W$21:$W$40,$A83)+INDEX($W$21:$W$40,L$70))/2)^2))</f>
        <v>1</v>
      </c>
      <c r="M83" s="32" t="n">
        <f aca="false">IF($A83=M$70,0,IF(Input!$H$5="Nominal",1,(SUM(INDEX($W$21:$W$40,MIN($A83,M$70)):INDEX($W$21:$W$40,MAX($A83,M$70)))-(INDEX($W$21:$W$40,$A83)+INDEX($W$21:$W$40,M$70))/2)^2))</f>
        <v>1</v>
      </c>
      <c r="N83" s="32" t="n">
        <f aca="false">IF($A83=N$70,0,IF(Input!$H$5="Nominal",1,(SUM(INDEX($W$21:$W$40,MIN($A83,N$70)):INDEX($W$21:$W$40,MAX($A83,N$70)))-(INDEX($W$21:$W$40,$A83)+INDEX($W$21:$W$40,N$70))/2)^2))</f>
        <v>0</v>
      </c>
      <c r="O83" s="32" t="n">
        <f aca="false">IF($A83=O$70,0,IF(Input!$H$5="Nominal",1,(SUM(INDEX($W$21:$W$40,MIN($A83,O$70)):INDEX($W$21:$W$40,MAX($A83,O$70)))-(INDEX($W$21:$W$40,$A83)+INDEX($W$21:$W$40,O$70))/2)^2))</f>
        <v>1</v>
      </c>
      <c r="P83" s="32" t="n">
        <f aca="false">IF($A83=P$70,0,IF(Input!$H$5="Nominal",1,(SUM(INDEX($W$21:$W$40,MIN($A83,P$70)):INDEX($W$21:$W$40,MAX($A83,P$70)))-(INDEX($W$21:$W$40,$A83)+INDEX($W$21:$W$40,P$70))/2)^2))</f>
        <v>1</v>
      </c>
      <c r="Q83" s="32" t="n">
        <f aca="false">IF($A83=Q$70,0,IF(Input!$H$5="Nominal",1,(SUM(INDEX($W$21:$W$40,MIN($A83,Q$70)):INDEX($W$21:$W$40,MAX($A83,Q$70)))-(INDEX($W$21:$W$40,$A83)+INDEX($W$21:$W$40,Q$70))/2)^2))</f>
        <v>1</v>
      </c>
      <c r="R83" s="32" t="n">
        <f aca="false">IF($A83=R$70,0,IF(Input!$H$5="Nominal",1,(SUM(INDEX($W$21:$W$40,MIN($A83,R$70)):INDEX($W$21:$W$40,MAX($A83,R$70)))-(INDEX($W$21:$W$40,$A83)+INDEX($W$21:$W$40,R$70))/2)^2))</f>
        <v>1</v>
      </c>
      <c r="S83" s="32" t="n">
        <f aca="false">IF($A83=S$70,0,IF(Input!$H$5="Nominal",1,(SUM(INDEX($W$21:$W$40,MIN($A83,S$70)):INDEX($W$21:$W$40,MAX($A83,S$70)))-(INDEX($W$21:$W$40,$A83)+INDEX($W$21:$W$40,S$70))/2)^2))</f>
        <v>1</v>
      </c>
      <c r="T83" s="32" t="n">
        <f aca="false">IF($A83=T$70,0,IF(Input!$H$5="Nominal",1,(SUM(INDEX($W$21:$W$40,MIN($A83,T$70)):INDEX($W$21:$W$40,MAX($A83,T$70)))-(INDEX($W$21:$W$40,$A83)+INDEX($W$21:$W$40,T$70))/2)^2))</f>
        <v>1</v>
      </c>
      <c r="U83" s="32" t="n">
        <f aca="false">IF($A83=U$70,0,IF(Input!$H$5="Nominal",1,(SUM(INDEX($W$21:$W$40,MIN($A83,U$70)):INDEX($W$21:$W$40,MAX($A83,U$70)))-(INDEX($W$21:$W$40,$A83)+INDEX($W$21:$W$40,U$70))/2)^2))</f>
        <v>1</v>
      </c>
      <c r="V83" s="32" t="n">
        <f aca="false">IF($A83=V$70,0,IF(Input!$H$5="Nominal",1,(SUM(INDEX($W$21:$W$40,MIN($A83,V$70)):INDEX($W$21:$W$40,MAX($A83,V$70)))-(INDEX($W$21:$W$40,$A83)+INDEX($W$21:$W$40,V$70))/2)^2))</f>
        <v>1</v>
      </c>
    </row>
    <row r="84" customFormat="false" ht="15" hidden="false" customHeight="false" outlineLevel="0" collapsed="false">
      <c r="A84" s="15" t="n">
        <v>13</v>
      </c>
      <c r="B84" s="15" t="str">
        <f aca="false">IF(Input!$H$22="","",Input!$H$22)</f>
        <v/>
      </c>
      <c r="C84" s="32" t="n">
        <f aca="false">IF($A84=C$70,0,IF(Input!$H$5="Nominal",1,(SUM(INDEX($W$21:$W$40,MIN($A84,C$70)):INDEX($W$21:$W$40,MAX($A84,C$70)))-(INDEX($W$21:$W$40,$A84)+INDEX($W$21:$W$40,C$70))/2)^2))</f>
        <v>1</v>
      </c>
      <c r="D84" s="32" t="n">
        <f aca="false">IF($A84=D$70,0,IF(Input!$H$5="Nominal",1,(SUM(INDEX($W$21:$W$40,MIN($A84,D$70)):INDEX($W$21:$W$40,MAX($A84,D$70)))-(INDEX($W$21:$W$40,$A84)+INDEX($W$21:$W$40,D$70))/2)^2))</f>
        <v>1</v>
      </c>
      <c r="E84" s="32" t="n">
        <f aca="false">IF($A84=E$70,0,IF(Input!$H$5="Nominal",1,(SUM(INDEX($W$21:$W$40,MIN($A84,E$70)):INDEX($W$21:$W$40,MAX($A84,E$70)))-(INDEX($W$21:$W$40,$A84)+INDEX($W$21:$W$40,E$70))/2)^2))</f>
        <v>1</v>
      </c>
      <c r="F84" s="32" t="n">
        <f aca="false">IF($A84=F$70,0,IF(Input!$H$5="Nominal",1,(SUM(INDEX($W$21:$W$40,MIN($A84,F$70)):INDEX($W$21:$W$40,MAX($A84,F$70)))-(INDEX($W$21:$W$40,$A84)+INDEX($W$21:$W$40,F$70))/2)^2))</f>
        <v>1</v>
      </c>
      <c r="G84" s="32" t="n">
        <f aca="false">IF($A84=G$70,0,IF(Input!$H$5="Nominal",1,(SUM(INDEX($W$21:$W$40,MIN($A84,G$70)):INDEX($W$21:$W$40,MAX($A84,G$70)))-(INDEX($W$21:$W$40,$A84)+INDEX($W$21:$W$40,G$70))/2)^2))</f>
        <v>1</v>
      </c>
      <c r="H84" s="32" t="n">
        <f aca="false">IF($A84=H$70,0,IF(Input!$H$5="Nominal",1,(SUM(INDEX($W$21:$W$40,MIN($A84,H$70)):INDEX($W$21:$W$40,MAX($A84,H$70)))-(INDEX($W$21:$W$40,$A84)+INDEX($W$21:$W$40,H$70))/2)^2))</f>
        <v>1</v>
      </c>
      <c r="I84" s="32" t="n">
        <f aca="false">IF($A84=I$70,0,IF(Input!$H$5="Nominal",1,(SUM(INDEX($W$21:$W$40,MIN($A84,I$70)):INDEX($W$21:$W$40,MAX($A84,I$70)))-(INDEX($W$21:$W$40,$A84)+INDEX($W$21:$W$40,I$70))/2)^2))</f>
        <v>1</v>
      </c>
      <c r="J84" s="32" t="n">
        <f aca="false">IF($A84=J$70,0,IF(Input!$H$5="Nominal",1,(SUM(INDEX($W$21:$W$40,MIN($A84,J$70)):INDEX($W$21:$W$40,MAX($A84,J$70)))-(INDEX($W$21:$W$40,$A84)+INDEX($W$21:$W$40,J$70))/2)^2))</f>
        <v>1</v>
      </c>
      <c r="K84" s="32" t="n">
        <f aca="false">IF($A84=K$70,0,IF(Input!$H$5="Nominal",1,(SUM(INDEX($W$21:$W$40,MIN($A84,K$70)):INDEX($W$21:$W$40,MAX($A84,K$70)))-(INDEX($W$21:$W$40,$A84)+INDEX($W$21:$W$40,K$70))/2)^2))</f>
        <v>1</v>
      </c>
      <c r="L84" s="32" t="n">
        <f aca="false">IF($A84=L$70,0,IF(Input!$H$5="Nominal",1,(SUM(INDEX($W$21:$W$40,MIN($A84,L$70)):INDEX($W$21:$W$40,MAX($A84,L$70)))-(INDEX($W$21:$W$40,$A84)+INDEX($W$21:$W$40,L$70))/2)^2))</f>
        <v>1</v>
      </c>
      <c r="M84" s="32" t="n">
        <f aca="false">IF($A84=M$70,0,IF(Input!$H$5="Nominal",1,(SUM(INDEX($W$21:$W$40,MIN($A84,M$70)):INDEX($W$21:$W$40,MAX($A84,M$70)))-(INDEX($W$21:$W$40,$A84)+INDEX($W$21:$W$40,M$70))/2)^2))</f>
        <v>1</v>
      </c>
      <c r="N84" s="32" t="n">
        <f aca="false">IF($A84=N$70,0,IF(Input!$H$5="Nominal",1,(SUM(INDEX($W$21:$W$40,MIN($A84,N$70)):INDEX($W$21:$W$40,MAX($A84,N$70)))-(INDEX($W$21:$W$40,$A84)+INDEX($W$21:$W$40,N$70))/2)^2))</f>
        <v>1</v>
      </c>
      <c r="O84" s="32" t="n">
        <f aca="false">IF($A84=O$70,0,IF(Input!$H$5="Nominal",1,(SUM(INDEX($W$21:$W$40,MIN($A84,O$70)):INDEX($W$21:$W$40,MAX($A84,O$70)))-(INDEX($W$21:$W$40,$A84)+INDEX($W$21:$W$40,O$70))/2)^2))</f>
        <v>0</v>
      </c>
      <c r="P84" s="32" t="n">
        <f aca="false">IF($A84=P$70,0,IF(Input!$H$5="Nominal",1,(SUM(INDEX($W$21:$W$40,MIN($A84,P$70)):INDEX($W$21:$W$40,MAX($A84,P$70)))-(INDEX($W$21:$W$40,$A84)+INDEX($W$21:$W$40,P$70))/2)^2))</f>
        <v>1</v>
      </c>
      <c r="Q84" s="32" t="n">
        <f aca="false">IF($A84=Q$70,0,IF(Input!$H$5="Nominal",1,(SUM(INDEX($W$21:$W$40,MIN($A84,Q$70)):INDEX($W$21:$W$40,MAX($A84,Q$70)))-(INDEX($W$21:$W$40,$A84)+INDEX($W$21:$W$40,Q$70))/2)^2))</f>
        <v>1</v>
      </c>
      <c r="R84" s="32" t="n">
        <f aca="false">IF($A84=R$70,0,IF(Input!$H$5="Nominal",1,(SUM(INDEX($W$21:$W$40,MIN($A84,R$70)):INDEX($W$21:$W$40,MAX($A84,R$70)))-(INDEX($W$21:$W$40,$A84)+INDEX($W$21:$W$40,R$70))/2)^2))</f>
        <v>1</v>
      </c>
      <c r="S84" s="32" t="n">
        <f aca="false">IF($A84=S$70,0,IF(Input!$H$5="Nominal",1,(SUM(INDEX($W$21:$W$40,MIN($A84,S$70)):INDEX($W$21:$W$40,MAX($A84,S$70)))-(INDEX($W$21:$W$40,$A84)+INDEX($W$21:$W$40,S$70))/2)^2))</f>
        <v>1</v>
      </c>
      <c r="T84" s="32" t="n">
        <f aca="false">IF($A84=T$70,0,IF(Input!$H$5="Nominal",1,(SUM(INDEX($W$21:$W$40,MIN($A84,T$70)):INDEX($W$21:$W$40,MAX($A84,T$70)))-(INDEX($W$21:$W$40,$A84)+INDEX($W$21:$W$40,T$70))/2)^2))</f>
        <v>1</v>
      </c>
      <c r="U84" s="32" t="n">
        <f aca="false">IF($A84=U$70,0,IF(Input!$H$5="Nominal",1,(SUM(INDEX($W$21:$W$40,MIN($A84,U$70)):INDEX($W$21:$W$40,MAX($A84,U$70)))-(INDEX($W$21:$W$40,$A84)+INDEX($W$21:$W$40,U$70))/2)^2))</f>
        <v>1</v>
      </c>
      <c r="V84" s="32" t="n">
        <f aca="false">IF($A84=V$70,0,IF(Input!$H$5="Nominal",1,(SUM(INDEX($W$21:$W$40,MIN($A84,V$70)):INDEX($W$21:$W$40,MAX($A84,V$70)))-(INDEX($W$21:$W$40,$A84)+INDEX($W$21:$W$40,V$70))/2)^2))</f>
        <v>1</v>
      </c>
    </row>
    <row r="85" customFormat="false" ht="15" hidden="false" customHeight="false" outlineLevel="0" collapsed="false">
      <c r="A85" s="15" t="n">
        <v>14</v>
      </c>
      <c r="B85" s="15" t="str">
        <f aca="false">IF(Input!$H$23="","",Input!$H$23)</f>
        <v/>
      </c>
      <c r="C85" s="32" t="n">
        <f aca="false">IF($A85=C$70,0,IF(Input!$H$5="Nominal",1,(SUM(INDEX($W$21:$W$40,MIN($A85,C$70)):INDEX($W$21:$W$40,MAX($A85,C$70)))-(INDEX($W$21:$W$40,$A85)+INDEX($W$21:$W$40,C$70))/2)^2))</f>
        <v>1</v>
      </c>
      <c r="D85" s="32" t="n">
        <f aca="false">IF($A85=D$70,0,IF(Input!$H$5="Nominal",1,(SUM(INDEX($W$21:$W$40,MIN($A85,D$70)):INDEX($W$21:$W$40,MAX($A85,D$70)))-(INDEX($W$21:$W$40,$A85)+INDEX($W$21:$W$40,D$70))/2)^2))</f>
        <v>1</v>
      </c>
      <c r="E85" s="32" t="n">
        <f aca="false">IF($A85=E$70,0,IF(Input!$H$5="Nominal",1,(SUM(INDEX($W$21:$W$40,MIN($A85,E$70)):INDEX($W$21:$W$40,MAX($A85,E$70)))-(INDEX($W$21:$W$40,$A85)+INDEX($W$21:$W$40,E$70))/2)^2))</f>
        <v>1</v>
      </c>
      <c r="F85" s="32" t="n">
        <f aca="false">IF($A85=F$70,0,IF(Input!$H$5="Nominal",1,(SUM(INDEX($W$21:$W$40,MIN($A85,F$70)):INDEX($W$21:$W$40,MAX($A85,F$70)))-(INDEX($W$21:$W$40,$A85)+INDEX($W$21:$W$40,F$70))/2)^2))</f>
        <v>1</v>
      </c>
      <c r="G85" s="32" t="n">
        <f aca="false">IF($A85=G$70,0,IF(Input!$H$5="Nominal",1,(SUM(INDEX($W$21:$W$40,MIN($A85,G$70)):INDEX($W$21:$W$40,MAX($A85,G$70)))-(INDEX($W$21:$W$40,$A85)+INDEX($W$21:$W$40,G$70))/2)^2))</f>
        <v>1</v>
      </c>
      <c r="H85" s="32" t="n">
        <f aca="false">IF($A85=H$70,0,IF(Input!$H$5="Nominal",1,(SUM(INDEX($W$21:$W$40,MIN($A85,H$70)):INDEX($W$21:$W$40,MAX($A85,H$70)))-(INDEX($W$21:$W$40,$A85)+INDEX($W$21:$W$40,H$70))/2)^2))</f>
        <v>1</v>
      </c>
      <c r="I85" s="32" t="n">
        <f aca="false">IF($A85=I$70,0,IF(Input!$H$5="Nominal",1,(SUM(INDEX($W$21:$W$40,MIN($A85,I$70)):INDEX($W$21:$W$40,MAX($A85,I$70)))-(INDEX($W$21:$W$40,$A85)+INDEX($W$21:$W$40,I$70))/2)^2))</f>
        <v>1</v>
      </c>
      <c r="J85" s="32" t="n">
        <f aca="false">IF($A85=J$70,0,IF(Input!$H$5="Nominal",1,(SUM(INDEX($W$21:$W$40,MIN($A85,J$70)):INDEX($W$21:$W$40,MAX($A85,J$70)))-(INDEX($W$21:$W$40,$A85)+INDEX($W$21:$W$40,J$70))/2)^2))</f>
        <v>1</v>
      </c>
      <c r="K85" s="32" t="n">
        <f aca="false">IF($A85=K$70,0,IF(Input!$H$5="Nominal",1,(SUM(INDEX($W$21:$W$40,MIN($A85,K$70)):INDEX($W$21:$W$40,MAX($A85,K$70)))-(INDEX($W$21:$W$40,$A85)+INDEX($W$21:$W$40,K$70))/2)^2))</f>
        <v>1</v>
      </c>
      <c r="L85" s="32" t="n">
        <f aca="false">IF($A85=L$70,0,IF(Input!$H$5="Nominal",1,(SUM(INDEX($W$21:$W$40,MIN($A85,L$70)):INDEX($W$21:$W$40,MAX($A85,L$70)))-(INDEX($W$21:$W$40,$A85)+INDEX($W$21:$W$40,L$70))/2)^2))</f>
        <v>1</v>
      </c>
      <c r="M85" s="32" t="n">
        <f aca="false">IF($A85=M$70,0,IF(Input!$H$5="Nominal",1,(SUM(INDEX($W$21:$W$40,MIN($A85,M$70)):INDEX($W$21:$W$40,MAX($A85,M$70)))-(INDEX($W$21:$W$40,$A85)+INDEX($W$21:$W$40,M$70))/2)^2))</f>
        <v>1</v>
      </c>
      <c r="N85" s="32" t="n">
        <f aca="false">IF($A85=N$70,0,IF(Input!$H$5="Nominal",1,(SUM(INDEX($W$21:$W$40,MIN($A85,N$70)):INDEX($W$21:$W$40,MAX($A85,N$70)))-(INDEX($W$21:$W$40,$A85)+INDEX($W$21:$W$40,N$70))/2)^2))</f>
        <v>1</v>
      </c>
      <c r="O85" s="32" t="n">
        <f aca="false">IF($A85=O$70,0,IF(Input!$H$5="Nominal",1,(SUM(INDEX($W$21:$W$40,MIN($A85,O$70)):INDEX($W$21:$W$40,MAX($A85,O$70)))-(INDEX($W$21:$W$40,$A85)+INDEX($W$21:$W$40,O$70))/2)^2))</f>
        <v>1</v>
      </c>
      <c r="P85" s="32" t="n">
        <f aca="false">IF($A85=P$70,0,IF(Input!$H$5="Nominal",1,(SUM(INDEX($W$21:$W$40,MIN($A85,P$70)):INDEX($W$21:$W$40,MAX($A85,P$70)))-(INDEX($W$21:$W$40,$A85)+INDEX($W$21:$W$40,P$70))/2)^2))</f>
        <v>0</v>
      </c>
      <c r="Q85" s="32" t="n">
        <f aca="false">IF($A85=Q$70,0,IF(Input!$H$5="Nominal",1,(SUM(INDEX($W$21:$W$40,MIN($A85,Q$70)):INDEX($W$21:$W$40,MAX($A85,Q$70)))-(INDEX($W$21:$W$40,$A85)+INDEX($W$21:$W$40,Q$70))/2)^2))</f>
        <v>1</v>
      </c>
      <c r="R85" s="32" t="n">
        <f aca="false">IF($A85=R$70,0,IF(Input!$H$5="Nominal",1,(SUM(INDEX($W$21:$W$40,MIN($A85,R$70)):INDEX($W$21:$W$40,MAX($A85,R$70)))-(INDEX($W$21:$W$40,$A85)+INDEX($W$21:$W$40,R$70))/2)^2))</f>
        <v>1</v>
      </c>
      <c r="S85" s="32" t="n">
        <f aca="false">IF($A85=S$70,0,IF(Input!$H$5="Nominal",1,(SUM(INDEX($W$21:$W$40,MIN($A85,S$70)):INDEX($W$21:$W$40,MAX($A85,S$70)))-(INDEX($W$21:$W$40,$A85)+INDEX($W$21:$W$40,S$70))/2)^2))</f>
        <v>1</v>
      </c>
      <c r="T85" s="32" t="n">
        <f aca="false">IF($A85=T$70,0,IF(Input!$H$5="Nominal",1,(SUM(INDEX($W$21:$W$40,MIN($A85,T$70)):INDEX($W$21:$W$40,MAX($A85,T$70)))-(INDEX($W$21:$W$40,$A85)+INDEX($W$21:$W$40,T$70))/2)^2))</f>
        <v>1</v>
      </c>
      <c r="U85" s="32" t="n">
        <f aca="false">IF($A85=U$70,0,IF(Input!$H$5="Nominal",1,(SUM(INDEX($W$21:$W$40,MIN($A85,U$70)):INDEX($W$21:$W$40,MAX($A85,U$70)))-(INDEX($W$21:$W$40,$A85)+INDEX($W$21:$W$40,U$70))/2)^2))</f>
        <v>1</v>
      </c>
      <c r="V85" s="32" t="n">
        <f aca="false">IF($A85=V$70,0,IF(Input!$H$5="Nominal",1,(SUM(INDEX($W$21:$W$40,MIN($A85,V$70)):INDEX($W$21:$W$40,MAX($A85,V$70)))-(INDEX($W$21:$W$40,$A85)+INDEX($W$21:$W$40,V$70))/2)^2))</f>
        <v>1</v>
      </c>
    </row>
    <row r="86" customFormat="false" ht="15" hidden="false" customHeight="false" outlineLevel="0" collapsed="false">
      <c r="A86" s="15" t="n">
        <v>15</v>
      </c>
      <c r="B86" s="15" t="str">
        <f aca="false">IF(Input!$H$24="","",Input!$H$24)</f>
        <v/>
      </c>
      <c r="C86" s="32" t="n">
        <f aca="false">IF($A86=C$70,0,IF(Input!$H$5="Nominal",1,(SUM(INDEX($W$21:$W$40,MIN($A86,C$70)):INDEX($W$21:$W$40,MAX($A86,C$70)))-(INDEX($W$21:$W$40,$A86)+INDEX($W$21:$W$40,C$70))/2)^2))</f>
        <v>1</v>
      </c>
      <c r="D86" s="32" t="n">
        <f aca="false">IF($A86=D$70,0,IF(Input!$H$5="Nominal",1,(SUM(INDEX($W$21:$W$40,MIN($A86,D$70)):INDEX($W$21:$W$40,MAX($A86,D$70)))-(INDEX($W$21:$W$40,$A86)+INDEX($W$21:$W$40,D$70))/2)^2))</f>
        <v>1</v>
      </c>
      <c r="E86" s="32" t="n">
        <f aca="false">IF($A86=E$70,0,IF(Input!$H$5="Nominal",1,(SUM(INDEX($W$21:$W$40,MIN($A86,E$70)):INDEX($W$21:$W$40,MAX($A86,E$70)))-(INDEX($W$21:$W$40,$A86)+INDEX($W$21:$W$40,E$70))/2)^2))</f>
        <v>1</v>
      </c>
      <c r="F86" s="32" t="n">
        <f aca="false">IF($A86=F$70,0,IF(Input!$H$5="Nominal",1,(SUM(INDEX($W$21:$W$40,MIN($A86,F$70)):INDEX($W$21:$W$40,MAX($A86,F$70)))-(INDEX($W$21:$W$40,$A86)+INDEX($W$21:$W$40,F$70))/2)^2))</f>
        <v>1</v>
      </c>
      <c r="G86" s="32" t="n">
        <f aca="false">IF($A86=G$70,0,IF(Input!$H$5="Nominal",1,(SUM(INDEX($W$21:$W$40,MIN($A86,G$70)):INDEX($W$21:$W$40,MAX($A86,G$70)))-(INDEX($W$21:$W$40,$A86)+INDEX($W$21:$W$40,G$70))/2)^2))</f>
        <v>1</v>
      </c>
      <c r="H86" s="32" t="n">
        <f aca="false">IF($A86=H$70,0,IF(Input!$H$5="Nominal",1,(SUM(INDEX($W$21:$W$40,MIN($A86,H$70)):INDEX($W$21:$W$40,MAX($A86,H$70)))-(INDEX($W$21:$W$40,$A86)+INDEX($W$21:$W$40,H$70))/2)^2))</f>
        <v>1</v>
      </c>
      <c r="I86" s="32" t="n">
        <f aca="false">IF($A86=I$70,0,IF(Input!$H$5="Nominal",1,(SUM(INDEX($W$21:$W$40,MIN($A86,I$70)):INDEX($W$21:$W$40,MAX($A86,I$70)))-(INDEX($W$21:$W$40,$A86)+INDEX($W$21:$W$40,I$70))/2)^2))</f>
        <v>1</v>
      </c>
      <c r="J86" s="32" t="n">
        <f aca="false">IF($A86=J$70,0,IF(Input!$H$5="Nominal",1,(SUM(INDEX($W$21:$W$40,MIN($A86,J$70)):INDEX($W$21:$W$40,MAX($A86,J$70)))-(INDEX($W$21:$W$40,$A86)+INDEX($W$21:$W$40,J$70))/2)^2))</f>
        <v>1</v>
      </c>
      <c r="K86" s="32" t="n">
        <f aca="false">IF($A86=K$70,0,IF(Input!$H$5="Nominal",1,(SUM(INDEX($W$21:$W$40,MIN($A86,K$70)):INDEX($W$21:$W$40,MAX($A86,K$70)))-(INDEX($W$21:$W$40,$A86)+INDEX($W$21:$W$40,K$70))/2)^2))</f>
        <v>1</v>
      </c>
      <c r="L86" s="32" t="n">
        <f aca="false">IF($A86=L$70,0,IF(Input!$H$5="Nominal",1,(SUM(INDEX($W$21:$W$40,MIN($A86,L$70)):INDEX($W$21:$W$40,MAX($A86,L$70)))-(INDEX($W$21:$W$40,$A86)+INDEX($W$21:$W$40,L$70))/2)^2))</f>
        <v>1</v>
      </c>
      <c r="M86" s="32" t="n">
        <f aca="false">IF($A86=M$70,0,IF(Input!$H$5="Nominal",1,(SUM(INDEX($W$21:$W$40,MIN($A86,M$70)):INDEX($W$21:$W$40,MAX($A86,M$70)))-(INDEX($W$21:$W$40,$A86)+INDEX($W$21:$W$40,M$70))/2)^2))</f>
        <v>1</v>
      </c>
      <c r="N86" s="32" t="n">
        <f aca="false">IF($A86=N$70,0,IF(Input!$H$5="Nominal",1,(SUM(INDEX($W$21:$W$40,MIN($A86,N$70)):INDEX($W$21:$W$40,MAX($A86,N$70)))-(INDEX($W$21:$W$40,$A86)+INDEX($W$21:$W$40,N$70))/2)^2))</f>
        <v>1</v>
      </c>
      <c r="O86" s="32" t="n">
        <f aca="false">IF($A86=O$70,0,IF(Input!$H$5="Nominal",1,(SUM(INDEX($W$21:$W$40,MIN($A86,O$70)):INDEX($W$21:$W$40,MAX($A86,O$70)))-(INDEX($W$21:$W$40,$A86)+INDEX($W$21:$W$40,O$70))/2)^2))</f>
        <v>1</v>
      </c>
      <c r="P86" s="32" t="n">
        <f aca="false">IF($A86=P$70,0,IF(Input!$H$5="Nominal",1,(SUM(INDEX($W$21:$W$40,MIN($A86,P$70)):INDEX($W$21:$W$40,MAX($A86,P$70)))-(INDEX($W$21:$W$40,$A86)+INDEX($W$21:$W$40,P$70))/2)^2))</f>
        <v>1</v>
      </c>
      <c r="Q86" s="32" t="n">
        <f aca="false">IF($A86=Q$70,0,IF(Input!$H$5="Nominal",1,(SUM(INDEX($W$21:$W$40,MIN($A86,Q$70)):INDEX($W$21:$W$40,MAX($A86,Q$70)))-(INDEX($W$21:$W$40,$A86)+INDEX($W$21:$W$40,Q$70))/2)^2))</f>
        <v>0</v>
      </c>
      <c r="R86" s="32" t="n">
        <f aca="false">IF($A86=R$70,0,IF(Input!$H$5="Nominal",1,(SUM(INDEX($W$21:$W$40,MIN($A86,R$70)):INDEX($W$21:$W$40,MAX($A86,R$70)))-(INDEX($W$21:$W$40,$A86)+INDEX($W$21:$W$40,R$70))/2)^2))</f>
        <v>1</v>
      </c>
      <c r="S86" s="32" t="n">
        <f aca="false">IF($A86=S$70,0,IF(Input!$H$5="Nominal",1,(SUM(INDEX($W$21:$W$40,MIN($A86,S$70)):INDEX($W$21:$W$40,MAX($A86,S$70)))-(INDEX($W$21:$W$40,$A86)+INDEX($W$21:$W$40,S$70))/2)^2))</f>
        <v>1</v>
      </c>
      <c r="T86" s="32" t="n">
        <f aca="false">IF($A86=T$70,0,IF(Input!$H$5="Nominal",1,(SUM(INDEX($W$21:$W$40,MIN($A86,T$70)):INDEX($W$21:$W$40,MAX($A86,T$70)))-(INDEX($W$21:$W$40,$A86)+INDEX($W$21:$W$40,T$70))/2)^2))</f>
        <v>1</v>
      </c>
      <c r="U86" s="32" t="n">
        <f aca="false">IF($A86=U$70,0,IF(Input!$H$5="Nominal",1,(SUM(INDEX($W$21:$W$40,MIN($A86,U$70)):INDEX($W$21:$W$40,MAX($A86,U$70)))-(INDEX($W$21:$W$40,$A86)+INDEX($W$21:$W$40,U$70))/2)^2))</f>
        <v>1</v>
      </c>
      <c r="V86" s="32" t="n">
        <f aca="false">IF($A86=V$70,0,IF(Input!$H$5="Nominal",1,(SUM(INDEX($W$21:$W$40,MIN($A86,V$70)):INDEX($W$21:$W$40,MAX($A86,V$70)))-(INDEX($W$21:$W$40,$A86)+INDEX($W$21:$W$40,V$70))/2)^2))</f>
        <v>1</v>
      </c>
    </row>
    <row r="87" customFormat="false" ht="15" hidden="false" customHeight="false" outlineLevel="0" collapsed="false">
      <c r="A87" s="15" t="n">
        <v>16</v>
      </c>
      <c r="B87" s="15" t="str">
        <f aca="false">IF(Input!$H$25="","",Input!$H$25)</f>
        <v/>
      </c>
      <c r="C87" s="32" t="n">
        <f aca="false">IF($A87=C$70,0,IF(Input!$H$5="Nominal",1,(SUM(INDEX($W$21:$W$40,MIN($A87,C$70)):INDEX($W$21:$W$40,MAX($A87,C$70)))-(INDEX($W$21:$W$40,$A87)+INDEX($W$21:$W$40,C$70))/2)^2))</f>
        <v>1</v>
      </c>
      <c r="D87" s="32" t="n">
        <f aca="false">IF($A87=D$70,0,IF(Input!$H$5="Nominal",1,(SUM(INDEX($W$21:$W$40,MIN($A87,D$70)):INDEX($W$21:$W$40,MAX($A87,D$70)))-(INDEX($W$21:$W$40,$A87)+INDEX($W$21:$W$40,D$70))/2)^2))</f>
        <v>1</v>
      </c>
      <c r="E87" s="32" t="n">
        <f aca="false">IF($A87=E$70,0,IF(Input!$H$5="Nominal",1,(SUM(INDEX($W$21:$W$40,MIN($A87,E$70)):INDEX($W$21:$W$40,MAX($A87,E$70)))-(INDEX($W$21:$W$40,$A87)+INDEX($W$21:$W$40,E$70))/2)^2))</f>
        <v>1</v>
      </c>
      <c r="F87" s="32" t="n">
        <f aca="false">IF($A87=F$70,0,IF(Input!$H$5="Nominal",1,(SUM(INDEX($W$21:$W$40,MIN($A87,F$70)):INDEX($W$21:$W$40,MAX($A87,F$70)))-(INDEX($W$21:$W$40,$A87)+INDEX($W$21:$W$40,F$70))/2)^2))</f>
        <v>1</v>
      </c>
      <c r="G87" s="32" t="n">
        <f aca="false">IF($A87=G$70,0,IF(Input!$H$5="Nominal",1,(SUM(INDEX($W$21:$W$40,MIN($A87,G$70)):INDEX($W$21:$W$40,MAX($A87,G$70)))-(INDEX($W$21:$W$40,$A87)+INDEX($W$21:$W$40,G$70))/2)^2))</f>
        <v>1</v>
      </c>
      <c r="H87" s="32" t="n">
        <f aca="false">IF($A87=H$70,0,IF(Input!$H$5="Nominal",1,(SUM(INDEX($W$21:$W$40,MIN($A87,H$70)):INDEX($W$21:$W$40,MAX($A87,H$70)))-(INDEX($W$21:$W$40,$A87)+INDEX($W$21:$W$40,H$70))/2)^2))</f>
        <v>1</v>
      </c>
      <c r="I87" s="32" t="n">
        <f aca="false">IF($A87=I$70,0,IF(Input!$H$5="Nominal",1,(SUM(INDEX($W$21:$W$40,MIN($A87,I$70)):INDEX($W$21:$W$40,MAX($A87,I$70)))-(INDEX($W$21:$W$40,$A87)+INDEX($W$21:$W$40,I$70))/2)^2))</f>
        <v>1</v>
      </c>
      <c r="J87" s="32" t="n">
        <f aca="false">IF($A87=J$70,0,IF(Input!$H$5="Nominal",1,(SUM(INDEX($W$21:$W$40,MIN($A87,J$70)):INDEX($W$21:$W$40,MAX($A87,J$70)))-(INDEX($W$21:$W$40,$A87)+INDEX($W$21:$W$40,J$70))/2)^2))</f>
        <v>1</v>
      </c>
      <c r="K87" s="32" t="n">
        <f aca="false">IF($A87=K$70,0,IF(Input!$H$5="Nominal",1,(SUM(INDEX($W$21:$W$40,MIN($A87,K$70)):INDEX($W$21:$W$40,MAX($A87,K$70)))-(INDEX($W$21:$W$40,$A87)+INDEX($W$21:$W$40,K$70))/2)^2))</f>
        <v>1</v>
      </c>
      <c r="L87" s="32" t="n">
        <f aca="false">IF($A87=L$70,0,IF(Input!$H$5="Nominal",1,(SUM(INDEX($W$21:$W$40,MIN($A87,L$70)):INDEX($W$21:$W$40,MAX($A87,L$70)))-(INDEX($W$21:$W$40,$A87)+INDEX($W$21:$W$40,L$70))/2)^2))</f>
        <v>1</v>
      </c>
      <c r="M87" s="32" t="n">
        <f aca="false">IF($A87=M$70,0,IF(Input!$H$5="Nominal",1,(SUM(INDEX($W$21:$W$40,MIN($A87,M$70)):INDEX($W$21:$W$40,MAX($A87,M$70)))-(INDEX($W$21:$W$40,$A87)+INDEX($W$21:$W$40,M$70))/2)^2))</f>
        <v>1</v>
      </c>
      <c r="N87" s="32" t="n">
        <f aca="false">IF($A87=N$70,0,IF(Input!$H$5="Nominal",1,(SUM(INDEX($W$21:$W$40,MIN($A87,N$70)):INDEX($W$21:$W$40,MAX($A87,N$70)))-(INDEX($W$21:$W$40,$A87)+INDEX($W$21:$W$40,N$70))/2)^2))</f>
        <v>1</v>
      </c>
      <c r="O87" s="32" t="n">
        <f aca="false">IF($A87=O$70,0,IF(Input!$H$5="Nominal",1,(SUM(INDEX($W$21:$W$40,MIN($A87,O$70)):INDEX($W$21:$W$40,MAX($A87,O$70)))-(INDEX($W$21:$W$40,$A87)+INDEX($W$21:$W$40,O$70))/2)^2))</f>
        <v>1</v>
      </c>
      <c r="P87" s="32" t="n">
        <f aca="false">IF($A87=P$70,0,IF(Input!$H$5="Nominal",1,(SUM(INDEX($W$21:$W$40,MIN($A87,P$70)):INDEX($W$21:$W$40,MAX($A87,P$70)))-(INDEX($W$21:$W$40,$A87)+INDEX($W$21:$W$40,P$70))/2)^2))</f>
        <v>1</v>
      </c>
      <c r="Q87" s="32" t="n">
        <f aca="false">IF($A87=Q$70,0,IF(Input!$H$5="Nominal",1,(SUM(INDEX($W$21:$W$40,MIN($A87,Q$70)):INDEX($W$21:$W$40,MAX($A87,Q$70)))-(INDEX($W$21:$W$40,$A87)+INDEX($W$21:$W$40,Q$70))/2)^2))</f>
        <v>1</v>
      </c>
      <c r="R87" s="32" t="n">
        <f aca="false">IF($A87=R$70,0,IF(Input!$H$5="Nominal",1,(SUM(INDEX($W$21:$W$40,MIN($A87,R$70)):INDEX($W$21:$W$40,MAX($A87,R$70)))-(INDEX($W$21:$W$40,$A87)+INDEX($W$21:$W$40,R$70))/2)^2))</f>
        <v>0</v>
      </c>
      <c r="S87" s="32" t="n">
        <f aca="false">IF($A87=S$70,0,IF(Input!$H$5="Nominal",1,(SUM(INDEX($W$21:$W$40,MIN($A87,S$70)):INDEX($W$21:$W$40,MAX($A87,S$70)))-(INDEX($W$21:$W$40,$A87)+INDEX($W$21:$W$40,S$70))/2)^2))</f>
        <v>1</v>
      </c>
      <c r="T87" s="32" t="n">
        <f aca="false">IF($A87=T$70,0,IF(Input!$H$5="Nominal",1,(SUM(INDEX($W$21:$W$40,MIN($A87,T$70)):INDEX($W$21:$W$40,MAX($A87,T$70)))-(INDEX($W$21:$W$40,$A87)+INDEX($W$21:$W$40,T$70))/2)^2))</f>
        <v>1</v>
      </c>
      <c r="U87" s="32" t="n">
        <f aca="false">IF($A87=U$70,0,IF(Input!$H$5="Nominal",1,(SUM(INDEX($W$21:$W$40,MIN($A87,U$70)):INDEX($W$21:$W$40,MAX($A87,U$70)))-(INDEX($W$21:$W$40,$A87)+INDEX($W$21:$W$40,U$70))/2)^2))</f>
        <v>1</v>
      </c>
      <c r="V87" s="32" t="n">
        <f aca="false">IF($A87=V$70,0,IF(Input!$H$5="Nominal",1,(SUM(INDEX($W$21:$W$40,MIN($A87,V$70)):INDEX($W$21:$W$40,MAX($A87,V$70)))-(INDEX($W$21:$W$40,$A87)+INDEX($W$21:$W$40,V$70))/2)^2))</f>
        <v>1</v>
      </c>
    </row>
    <row r="88" customFormat="false" ht="15" hidden="false" customHeight="false" outlineLevel="0" collapsed="false">
      <c r="A88" s="15" t="n">
        <v>17</v>
      </c>
      <c r="B88" s="15" t="str">
        <f aca="false">IF(Input!$H$26="","",Input!$H$26)</f>
        <v/>
      </c>
      <c r="C88" s="32" t="n">
        <f aca="false">IF($A88=C$70,0,IF(Input!$H$5="Nominal",1,(SUM(INDEX($W$21:$W$40,MIN($A88,C$70)):INDEX($W$21:$W$40,MAX($A88,C$70)))-(INDEX($W$21:$W$40,$A88)+INDEX($W$21:$W$40,C$70))/2)^2))</f>
        <v>1</v>
      </c>
      <c r="D88" s="32" t="n">
        <f aca="false">IF($A88=D$70,0,IF(Input!$H$5="Nominal",1,(SUM(INDEX($W$21:$W$40,MIN($A88,D$70)):INDEX($W$21:$W$40,MAX($A88,D$70)))-(INDEX($W$21:$W$40,$A88)+INDEX($W$21:$W$40,D$70))/2)^2))</f>
        <v>1</v>
      </c>
      <c r="E88" s="32" t="n">
        <f aca="false">IF($A88=E$70,0,IF(Input!$H$5="Nominal",1,(SUM(INDEX($W$21:$W$40,MIN($A88,E$70)):INDEX($W$21:$W$40,MAX($A88,E$70)))-(INDEX($W$21:$W$40,$A88)+INDEX($W$21:$W$40,E$70))/2)^2))</f>
        <v>1</v>
      </c>
      <c r="F88" s="32" t="n">
        <f aca="false">IF($A88=F$70,0,IF(Input!$H$5="Nominal",1,(SUM(INDEX($W$21:$W$40,MIN($A88,F$70)):INDEX($W$21:$W$40,MAX($A88,F$70)))-(INDEX($W$21:$W$40,$A88)+INDEX($W$21:$W$40,F$70))/2)^2))</f>
        <v>1</v>
      </c>
      <c r="G88" s="32" t="n">
        <f aca="false">IF($A88=G$70,0,IF(Input!$H$5="Nominal",1,(SUM(INDEX($W$21:$W$40,MIN($A88,G$70)):INDEX($W$21:$W$40,MAX($A88,G$70)))-(INDEX($W$21:$W$40,$A88)+INDEX($W$21:$W$40,G$70))/2)^2))</f>
        <v>1</v>
      </c>
      <c r="H88" s="32" t="n">
        <f aca="false">IF($A88=H$70,0,IF(Input!$H$5="Nominal",1,(SUM(INDEX($W$21:$W$40,MIN($A88,H$70)):INDEX($W$21:$W$40,MAX($A88,H$70)))-(INDEX($W$21:$W$40,$A88)+INDEX($W$21:$W$40,H$70))/2)^2))</f>
        <v>1</v>
      </c>
      <c r="I88" s="32" t="n">
        <f aca="false">IF($A88=I$70,0,IF(Input!$H$5="Nominal",1,(SUM(INDEX($W$21:$W$40,MIN($A88,I$70)):INDEX($W$21:$W$40,MAX($A88,I$70)))-(INDEX($W$21:$W$40,$A88)+INDEX($W$21:$W$40,I$70))/2)^2))</f>
        <v>1</v>
      </c>
      <c r="J88" s="32" t="n">
        <f aca="false">IF($A88=J$70,0,IF(Input!$H$5="Nominal",1,(SUM(INDEX($W$21:$W$40,MIN($A88,J$70)):INDEX($W$21:$W$40,MAX($A88,J$70)))-(INDEX($W$21:$W$40,$A88)+INDEX($W$21:$W$40,J$70))/2)^2))</f>
        <v>1</v>
      </c>
      <c r="K88" s="32" t="n">
        <f aca="false">IF($A88=K$70,0,IF(Input!$H$5="Nominal",1,(SUM(INDEX($W$21:$W$40,MIN($A88,K$70)):INDEX($W$21:$W$40,MAX($A88,K$70)))-(INDEX($W$21:$W$40,$A88)+INDEX($W$21:$W$40,K$70))/2)^2))</f>
        <v>1</v>
      </c>
      <c r="L88" s="32" t="n">
        <f aca="false">IF($A88=L$70,0,IF(Input!$H$5="Nominal",1,(SUM(INDEX($W$21:$W$40,MIN($A88,L$70)):INDEX($W$21:$W$40,MAX($A88,L$70)))-(INDEX($W$21:$W$40,$A88)+INDEX($W$21:$W$40,L$70))/2)^2))</f>
        <v>1</v>
      </c>
      <c r="M88" s="32" t="n">
        <f aca="false">IF($A88=M$70,0,IF(Input!$H$5="Nominal",1,(SUM(INDEX($W$21:$W$40,MIN($A88,M$70)):INDEX($W$21:$W$40,MAX($A88,M$70)))-(INDEX($W$21:$W$40,$A88)+INDEX($W$21:$W$40,M$70))/2)^2))</f>
        <v>1</v>
      </c>
      <c r="N88" s="32" t="n">
        <f aca="false">IF($A88=N$70,0,IF(Input!$H$5="Nominal",1,(SUM(INDEX($W$21:$W$40,MIN($A88,N$70)):INDEX($W$21:$W$40,MAX($A88,N$70)))-(INDEX($W$21:$W$40,$A88)+INDEX($W$21:$W$40,N$70))/2)^2))</f>
        <v>1</v>
      </c>
      <c r="O88" s="32" t="n">
        <f aca="false">IF($A88=O$70,0,IF(Input!$H$5="Nominal",1,(SUM(INDEX($W$21:$W$40,MIN($A88,O$70)):INDEX($W$21:$W$40,MAX($A88,O$70)))-(INDEX($W$21:$W$40,$A88)+INDEX($W$21:$W$40,O$70))/2)^2))</f>
        <v>1</v>
      </c>
      <c r="P88" s="32" t="n">
        <f aca="false">IF($A88=P$70,0,IF(Input!$H$5="Nominal",1,(SUM(INDEX($W$21:$W$40,MIN($A88,P$70)):INDEX($W$21:$W$40,MAX($A88,P$70)))-(INDEX($W$21:$W$40,$A88)+INDEX($W$21:$W$40,P$70))/2)^2))</f>
        <v>1</v>
      </c>
      <c r="Q88" s="32" t="n">
        <f aca="false">IF($A88=Q$70,0,IF(Input!$H$5="Nominal",1,(SUM(INDEX($W$21:$W$40,MIN($A88,Q$70)):INDEX($W$21:$W$40,MAX($A88,Q$70)))-(INDEX($W$21:$W$40,$A88)+INDEX($W$21:$W$40,Q$70))/2)^2))</f>
        <v>1</v>
      </c>
      <c r="R88" s="32" t="n">
        <f aca="false">IF($A88=R$70,0,IF(Input!$H$5="Nominal",1,(SUM(INDEX($W$21:$W$40,MIN($A88,R$70)):INDEX($W$21:$W$40,MAX($A88,R$70)))-(INDEX($W$21:$W$40,$A88)+INDEX($W$21:$W$40,R$70))/2)^2))</f>
        <v>1</v>
      </c>
      <c r="S88" s="32" t="n">
        <f aca="false">IF($A88=S$70,0,IF(Input!$H$5="Nominal",1,(SUM(INDEX($W$21:$W$40,MIN($A88,S$70)):INDEX($W$21:$W$40,MAX($A88,S$70)))-(INDEX($W$21:$W$40,$A88)+INDEX($W$21:$W$40,S$70))/2)^2))</f>
        <v>0</v>
      </c>
      <c r="T88" s="32" t="n">
        <f aca="false">IF($A88=T$70,0,IF(Input!$H$5="Nominal",1,(SUM(INDEX($W$21:$W$40,MIN($A88,T$70)):INDEX($W$21:$W$40,MAX($A88,T$70)))-(INDEX($W$21:$W$40,$A88)+INDEX($W$21:$W$40,T$70))/2)^2))</f>
        <v>1</v>
      </c>
      <c r="U88" s="32" t="n">
        <f aca="false">IF($A88=U$70,0,IF(Input!$H$5="Nominal",1,(SUM(INDEX($W$21:$W$40,MIN($A88,U$70)):INDEX($W$21:$W$40,MAX($A88,U$70)))-(INDEX($W$21:$W$40,$A88)+INDEX($W$21:$W$40,U$70))/2)^2))</f>
        <v>1</v>
      </c>
      <c r="V88" s="32" t="n">
        <f aca="false">IF($A88=V$70,0,IF(Input!$H$5="Nominal",1,(SUM(INDEX($W$21:$W$40,MIN($A88,V$70)):INDEX($W$21:$W$40,MAX($A88,V$70)))-(INDEX($W$21:$W$40,$A88)+INDEX($W$21:$W$40,V$70))/2)^2))</f>
        <v>1</v>
      </c>
    </row>
    <row r="89" customFormat="false" ht="15" hidden="false" customHeight="false" outlineLevel="0" collapsed="false">
      <c r="A89" s="15" t="n">
        <v>18</v>
      </c>
      <c r="B89" s="15" t="str">
        <f aca="false">IF(Input!$H$27="","",Input!$H$27)</f>
        <v/>
      </c>
      <c r="C89" s="32" t="n">
        <f aca="false">IF($A89=C$70,0,IF(Input!$H$5="Nominal",1,(SUM(INDEX($W$21:$W$40,MIN($A89,C$70)):INDEX($W$21:$W$40,MAX($A89,C$70)))-(INDEX($W$21:$W$40,$A89)+INDEX($W$21:$W$40,C$70))/2)^2))</f>
        <v>1</v>
      </c>
      <c r="D89" s="32" t="n">
        <f aca="false">IF($A89=D$70,0,IF(Input!$H$5="Nominal",1,(SUM(INDEX($W$21:$W$40,MIN($A89,D$70)):INDEX($W$21:$W$40,MAX($A89,D$70)))-(INDEX($W$21:$W$40,$A89)+INDEX($W$21:$W$40,D$70))/2)^2))</f>
        <v>1</v>
      </c>
      <c r="E89" s="32" t="n">
        <f aca="false">IF($A89=E$70,0,IF(Input!$H$5="Nominal",1,(SUM(INDEX($W$21:$W$40,MIN($A89,E$70)):INDEX($W$21:$W$40,MAX($A89,E$70)))-(INDEX($W$21:$W$40,$A89)+INDEX($W$21:$W$40,E$70))/2)^2))</f>
        <v>1</v>
      </c>
      <c r="F89" s="32" t="n">
        <f aca="false">IF($A89=F$70,0,IF(Input!$H$5="Nominal",1,(SUM(INDEX($W$21:$W$40,MIN($A89,F$70)):INDEX($W$21:$W$40,MAX($A89,F$70)))-(INDEX($W$21:$W$40,$A89)+INDEX($W$21:$W$40,F$70))/2)^2))</f>
        <v>1</v>
      </c>
      <c r="G89" s="32" t="n">
        <f aca="false">IF($A89=G$70,0,IF(Input!$H$5="Nominal",1,(SUM(INDEX($W$21:$W$40,MIN($A89,G$70)):INDEX($W$21:$W$40,MAX($A89,G$70)))-(INDEX($W$21:$W$40,$A89)+INDEX($W$21:$W$40,G$70))/2)^2))</f>
        <v>1</v>
      </c>
      <c r="H89" s="32" t="n">
        <f aca="false">IF($A89=H$70,0,IF(Input!$H$5="Nominal",1,(SUM(INDEX($W$21:$W$40,MIN($A89,H$70)):INDEX($W$21:$W$40,MAX($A89,H$70)))-(INDEX($W$21:$W$40,$A89)+INDEX($W$21:$W$40,H$70))/2)^2))</f>
        <v>1</v>
      </c>
      <c r="I89" s="32" t="n">
        <f aca="false">IF($A89=I$70,0,IF(Input!$H$5="Nominal",1,(SUM(INDEX($W$21:$W$40,MIN($A89,I$70)):INDEX($W$21:$W$40,MAX($A89,I$70)))-(INDEX($W$21:$W$40,$A89)+INDEX($W$21:$W$40,I$70))/2)^2))</f>
        <v>1</v>
      </c>
      <c r="J89" s="32" t="n">
        <f aca="false">IF($A89=J$70,0,IF(Input!$H$5="Nominal",1,(SUM(INDEX($W$21:$W$40,MIN($A89,J$70)):INDEX($W$21:$W$40,MAX($A89,J$70)))-(INDEX($W$21:$W$40,$A89)+INDEX($W$21:$W$40,J$70))/2)^2))</f>
        <v>1</v>
      </c>
      <c r="K89" s="32" t="n">
        <f aca="false">IF($A89=K$70,0,IF(Input!$H$5="Nominal",1,(SUM(INDEX($W$21:$W$40,MIN($A89,K$70)):INDEX($W$21:$W$40,MAX($A89,K$70)))-(INDEX($W$21:$W$40,$A89)+INDEX($W$21:$W$40,K$70))/2)^2))</f>
        <v>1</v>
      </c>
      <c r="L89" s="32" t="n">
        <f aca="false">IF($A89=L$70,0,IF(Input!$H$5="Nominal",1,(SUM(INDEX($W$21:$W$40,MIN($A89,L$70)):INDEX($W$21:$W$40,MAX($A89,L$70)))-(INDEX($W$21:$W$40,$A89)+INDEX($W$21:$W$40,L$70))/2)^2))</f>
        <v>1</v>
      </c>
      <c r="M89" s="32" t="n">
        <f aca="false">IF($A89=M$70,0,IF(Input!$H$5="Nominal",1,(SUM(INDEX($W$21:$W$40,MIN($A89,M$70)):INDEX($W$21:$W$40,MAX($A89,M$70)))-(INDEX($W$21:$W$40,$A89)+INDEX($W$21:$W$40,M$70))/2)^2))</f>
        <v>1</v>
      </c>
      <c r="N89" s="32" t="n">
        <f aca="false">IF($A89=N$70,0,IF(Input!$H$5="Nominal",1,(SUM(INDEX($W$21:$W$40,MIN($A89,N$70)):INDEX($W$21:$W$40,MAX($A89,N$70)))-(INDEX($W$21:$W$40,$A89)+INDEX($W$21:$W$40,N$70))/2)^2))</f>
        <v>1</v>
      </c>
      <c r="O89" s="32" t="n">
        <f aca="false">IF($A89=O$70,0,IF(Input!$H$5="Nominal",1,(SUM(INDEX($W$21:$W$40,MIN($A89,O$70)):INDEX($W$21:$W$40,MAX($A89,O$70)))-(INDEX($W$21:$W$40,$A89)+INDEX($W$21:$W$40,O$70))/2)^2))</f>
        <v>1</v>
      </c>
      <c r="P89" s="32" t="n">
        <f aca="false">IF($A89=P$70,0,IF(Input!$H$5="Nominal",1,(SUM(INDEX($W$21:$W$40,MIN($A89,P$70)):INDEX($W$21:$W$40,MAX($A89,P$70)))-(INDEX($W$21:$W$40,$A89)+INDEX($W$21:$W$40,P$70))/2)^2))</f>
        <v>1</v>
      </c>
      <c r="Q89" s="32" t="n">
        <f aca="false">IF($A89=Q$70,0,IF(Input!$H$5="Nominal",1,(SUM(INDEX($W$21:$W$40,MIN($A89,Q$70)):INDEX($W$21:$W$40,MAX($A89,Q$70)))-(INDEX($W$21:$W$40,$A89)+INDEX($W$21:$W$40,Q$70))/2)^2))</f>
        <v>1</v>
      </c>
      <c r="R89" s="32" t="n">
        <f aca="false">IF($A89=R$70,0,IF(Input!$H$5="Nominal",1,(SUM(INDEX($W$21:$W$40,MIN($A89,R$70)):INDEX($W$21:$W$40,MAX($A89,R$70)))-(INDEX($W$21:$W$40,$A89)+INDEX($W$21:$W$40,R$70))/2)^2))</f>
        <v>1</v>
      </c>
      <c r="S89" s="32" t="n">
        <f aca="false">IF($A89=S$70,0,IF(Input!$H$5="Nominal",1,(SUM(INDEX($W$21:$W$40,MIN($A89,S$70)):INDEX($W$21:$W$40,MAX($A89,S$70)))-(INDEX($W$21:$W$40,$A89)+INDEX($W$21:$W$40,S$70))/2)^2))</f>
        <v>1</v>
      </c>
      <c r="T89" s="32" t="n">
        <f aca="false">IF($A89=T$70,0,IF(Input!$H$5="Nominal",1,(SUM(INDEX($W$21:$W$40,MIN($A89,T$70)):INDEX($W$21:$W$40,MAX($A89,T$70)))-(INDEX($W$21:$W$40,$A89)+INDEX($W$21:$W$40,T$70))/2)^2))</f>
        <v>0</v>
      </c>
      <c r="U89" s="32" t="n">
        <f aca="false">IF($A89=U$70,0,IF(Input!$H$5="Nominal",1,(SUM(INDEX($W$21:$W$40,MIN($A89,U$70)):INDEX($W$21:$W$40,MAX($A89,U$70)))-(INDEX($W$21:$W$40,$A89)+INDEX($W$21:$W$40,U$70))/2)^2))</f>
        <v>1</v>
      </c>
      <c r="V89" s="32" t="n">
        <f aca="false">IF($A89=V$70,0,IF(Input!$H$5="Nominal",1,(SUM(INDEX($W$21:$W$40,MIN($A89,V$70)):INDEX($W$21:$W$40,MAX($A89,V$70)))-(INDEX($W$21:$W$40,$A89)+INDEX($W$21:$W$40,V$70))/2)^2))</f>
        <v>1</v>
      </c>
    </row>
    <row r="90" customFormat="false" ht="15" hidden="false" customHeight="false" outlineLevel="0" collapsed="false">
      <c r="A90" s="15" t="n">
        <v>19</v>
      </c>
      <c r="B90" s="15" t="str">
        <f aca="false">IF(Input!$H$28="","",Input!$H$28)</f>
        <v/>
      </c>
      <c r="C90" s="32" t="n">
        <f aca="false">IF($A90=C$70,0,IF(Input!$H$5="Nominal",1,(SUM(INDEX($W$21:$W$40,MIN($A90,C$70)):INDEX($W$21:$W$40,MAX($A90,C$70)))-(INDEX($W$21:$W$40,$A90)+INDEX($W$21:$W$40,C$70))/2)^2))</f>
        <v>1</v>
      </c>
      <c r="D90" s="32" t="n">
        <f aca="false">IF($A90=D$70,0,IF(Input!$H$5="Nominal",1,(SUM(INDEX($W$21:$W$40,MIN($A90,D$70)):INDEX($W$21:$W$40,MAX($A90,D$70)))-(INDEX($W$21:$W$40,$A90)+INDEX($W$21:$W$40,D$70))/2)^2))</f>
        <v>1</v>
      </c>
      <c r="E90" s="32" t="n">
        <f aca="false">IF($A90=E$70,0,IF(Input!$H$5="Nominal",1,(SUM(INDEX($W$21:$W$40,MIN($A90,E$70)):INDEX($W$21:$W$40,MAX($A90,E$70)))-(INDEX($W$21:$W$40,$A90)+INDEX($W$21:$W$40,E$70))/2)^2))</f>
        <v>1</v>
      </c>
      <c r="F90" s="32" t="n">
        <f aca="false">IF($A90=F$70,0,IF(Input!$H$5="Nominal",1,(SUM(INDEX($W$21:$W$40,MIN($A90,F$70)):INDEX($W$21:$W$40,MAX($A90,F$70)))-(INDEX($W$21:$W$40,$A90)+INDEX($W$21:$W$40,F$70))/2)^2))</f>
        <v>1</v>
      </c>
      <c r="G90" s="32" t="n">
        <f aca="false">IF($A90=G$70,0,IF(Input!$H$5="Nominal",1,(SUM(INDEX($W$21:$W$40,MIN($A90,G$70)):INDEX($W$21:$W$40,MAX($A90,G$70)))-(INDEX($W$21:$W$40,$A90)+INDEX($W$21:$W$40,G$70))/2)^2))</f>
        <v>1</v>
      </c>
      <c r="H90" s="32" t="n">
        <f aca="false">IF($A90=H$70,0,IF(Input!$H$5="Nominal",1,(SUM(INDEX($W$21:$W$40,MIN($A90,H$70)):INDEX($W$21:$W$40,MAX($A90,H$70)))-(INDEX($W$21:$W$40,$A90)+INDEX($W$21:$W$40,H$70))/2)^2))</f>
        <v>1</v>
      </c>
      <c r="I90" s="32" t="n">
        <f aca="false">IF($A90=I$70,0,IF(Input!$H$5="Nominal",1,(SUM(INDEX($W$21:$W$40,MIN($A90,I$70)):INDEX($W$21:$W$40,MAX($A90,I$70)))-(INDEX($W$21:$W$40,$A90)+INDEX($W$21:$W$40,I$70))/2)^2))</f>
        <v>1</v>
      </c>
      <c r="J90" s="32" t="n">
        <f aca="false">IF($A90=J$70,0,IF(Input!$H$5="Nominal",1,(SUM(INDEX($W$21:$W$40,MIN($A90,J$70)):INDEX($W$21:$W$40,MAX($A90,J$70)))-(INDEX($W$21:$W$40,$A90)+INDEX($W$21:$W$40,J$70))/2)^2))</f>
        <v>1</v>
      </c>
      <c r="K90" s="32" t="n">
        <f aca="false">IF($A90=K$70,0,IF(Input!$H$5="Nominal",1,(SUM(INDEX($W$21:$W$40,MIN($A90,K$70)):INDEX($W$21:$W$40,MAX($A90,K$70)))-(INDEX($W$21:$W$40,$A90)+INDEX($W$21:$W$40,K$70))/2)^2))</f>
        <v>1</v>
      </c>
      <c r="L90" s="32" t="n">
        <f aca="false">IF($A90=L$70,0,IF(Input!$H$5="Nominal",1,(SUM(INDEX($W$21:$W$40,MIN($A90,L$70)):INDEX($W$21:$W$40,MAX($A90,L$70)))-(INDEX($W$21:$W$40,$A90)+INDEX($W$21:$W$40,L$70))/2)^2))</f>
        <v>1</v>
      </c>
      <c r="M90" s="32" t="n">
        <f aca="false">IF($A90=M$70,0,IF(Input!$H$5="Nominal",1,(SUM(INDEX($W$21:$W$40,MIN($A90,M$70)):INDEX($W$21:$W$40,MAX($A90,M$70)))-(INDEX($W$21:$W$40,$A90)+INDEX($W$21:$W$40,M$70))/2)^2))</f>
        <v>1</v>
      </c>
      <c r="N90" s="32" t="n">
        <f aca="false">IF($A90=N$70,0,IF(Input!$H$5="Nominal",1,(SUM(INDEX($W$21:$W$40,MIN($A90,N$70)):INDEX($W$21:$W$40,MAX($A90,N$70)))-(INDEX($W$21:$W$40,$A90)+INDEX($W$21:$W$40,N$70))/2)^2))</f>
        <v>1</v>
      </c>
      <c r="O90" s="32" t="n">
        <f aca="false">IF($A90=O$70,0,IF(Input!$H$5="Nominal",1,(SUM(INDEX($W$21:$W$40,MIN($A90,O$70)):INDEX($W$21:$W$40,MAX($A90,O$70)))-(INDEX($W$21:$W$40,$A90)+INDEX($W$21:$W$40,O$70))/2)^2))</f>
        <v>1</v>
      </c>
      <c r="P90" s="32" t="n">
        <f aca="false">IF($A90=P$70,0,IF(Input!$H$5="Nominal",1,(SUM(INDEX($W$21:$W$40,MIN($A90,P$70)):INDEX($W$21:$W$40,MAX($A90,P$70)))-(INDEX($W$21:$W$40,$A90)+INDEX($W$21:$W$40,P$70))/2)^2))</f>
        <v>1</v>
      </c>
      <c r="Q90" s="32" t="n">
        <f aca="false">IF($A90=Q$70,0,IF(Input!$H$5="Nominal",1,(SUM(INDEX($W$21:$W$40,MIN($A90,Q$70)):INDEX($W$21:$W$40,MAX($A90,Q$70)))-(INDEX($W$21:$W$40,$A90)+INDEX($W$21:$W$40,Q$70))/2)^2))</f>
        <v>1</v>
      </c>
      <c r="R90" s="32" t="n">
        <f aca="false">IF($A90=R$70,0,IF(Input!$H$5="Nominal",1,(SUM(INDEX($W$21:$W$40,MIN($A90,R$70)):INDEX($W$21:$W$40,MAX($A90,R$70)))-(INDEX($W$21:$W$40,$A90)+INDEX($W$21:$W$40,R$70))/2)^2))</f>
        <v>1</v>
      </c>
      <c r="S90" s="32" t="n">
        <f aca="false">IF($A90=S$70,0,IF(Input!$H$5="Nominal",1,(SUM(INDEX($W$21:$W$40,MIN($A90,S$70)):INDEX($W$21:$W$40,MAX($A90,S$70)))-(INDEX($W$21:$W$40,$A90)+INDEX($W$21:$W$40,S$70))/2)^2))</f>
        <v>1</v>
      </c>
      <c r="T90" s="32" t="n">
        <f aca="false">IF($A90=T$70,0,IF(Input!$H$5="Nominal",1,(SUM(INDEX($W$21:$W$40,MIN($A90,T$70)):INDEX($W$21:$W$40,MAX($A90,T$70)))-(INDEX($W$21:$W$40,$A90)+INDEX($W$21:$W$40,T$70))/2)^2))</f>
        <v>1</v>
      </c>
      <c r="U90" s="32" t="n">
        <f aca="false">IF($A90=U$70,0,IF(Input!$H$5="Nominal",1,(SUM(INDEX($W$21:$W$40,MIN($A90,U$70)):INDEX($W$21:$W$40,MAX($A90,U$70)))-(INDEX($W$21:$W$40,$A90)+INDEX($W$21:$W$40,U$70))/2)^2))</f>
        <v>0</v>
      </c>
      <c r="V90" s="32" t="n">
        <f aca="false">IF($A90=V$70,0,IF(Input!$H$5="Nominal",1,(SUM(INDEX($W$21:$W$40,MIN($A90,V$70)):INDEX($W$21:$W$40,MAX($A90,V$70)))-(INDEX($W$21:$W$40,$A90)+INDEX($W$21:$W$40,V$70))/2)^2))</f>
        <v>1</v>
      </c>
    </row>
    <row r="91" customFormat="false" ht="15" hidden="false" customHeight="false" outlineLevel="0" collapsed="false">
      <c r="A91" s="15" t="n">
        <v>20</v>
      </c>
      <c r="B91" s="15" t="str">
        <f aca="false">IF(Input!$H$29="","",Input!$H$29)</f>
        <v/>
      </c>
      <c r="C91" s="32" t="n">
        <f aca="false">IF($A91=C$70,0,IF(Input!$H$5="Nominal",1,(SUM(INDEX($W$21:$W$40,MIN($A91,C$70)):INDEX($W$21:$W$40,MAX($A91,C$70)))-(INDEX($W$21:$W$40,$A91)+INDEX($W$21:$W$40,C$70))/2)^2))</f>
        <v>1</v>
      </c>
      <c r="D91" s="32" t="n">
        <f aca="false">IF($A91=D$70,0,IF(Input!$H$5="Nominal",1,(SUM(INDEX($W$21:$W$40,MIN($A91,D$70)):INDEX($W$21:$W$40,MAX($A91,D$70)))-(INDEX($W$21:$W$40,$A91)+INDEX($W$21:$W$40,D$70))/2)^2))</f>
        <v>1</v>
      </c>
      <c r="E91" s="32" t="n">
        <f aca="false">IF($A91=E$70,0,IF(Input!$H$5="Nominal",1,(SUM(INDEX($W$21:$W$40,MIN($A91,E$70)):INDEX($W$21:$W$40,MAX($A91,E$70)))-(INDEX($W$21:$W$40,$A91)+INDEX($W$21:$W$40,E$70))/2)^2))</f>
        <v>1</v>
      </c>
      <c r="F91" s="32" t="n">
        <f aca="false">IF($A91=F$70,0,IF(Input!$H$5="Nominal",1,(SUM(INDEX($W$21:$W$40,MIN($A91,F$70)):INDEX($W$21:$W$40,MAX($A91,F$70)))-(INDEX($W$21:$W$40,$A91)+INDEX($W$21:$W$40,F$70))/2)^2))</f>
        <v>1</v>
      </c>
      <c r="G91" s="32" t="n">
        <f aca="false">IF($A91=G$70,0,IF(Input!$H$5="Nominal",1,(SUM(INDEX($W$21:$W$40,MIN($A91,G$70)):INDEX($W$21:$W$40,MAX($A91,G$70)))-(INDEX($W$21:$W$40,$A91)+INDEX($W$21:$W$40,G$70))/2)^2))</f>
        <v>1</v>
      </c>
      <c r="H91" s="32" t="n">
        <f aca="false">IF($A91=H$70,0,IF(Input!$H$5="Nominal",1,(SUM(INDEX($W$21:$W$40,MIN($A91,H$70)):INDEX($W$21:$W$40,MAX($A91,H$70)))-(INDEX($W$21:$W$40,$A91)+INDEX($W$21:$W$40,H$70))/2)^2))</f>
        <v>1</v>
      </c>
      <c r="I91" s="32" t="n">
        <f aca="false">IF($A91=I$70,0,IF(Input!$H$5="Nominal",1,(SUM(INDEX($W$21:$W$40,MIN($A91,I$70)):INDEX($W$21:$W$40,MAX($A91,I$70)))-(INDEX($W$21:$W$40,$A91)+INDEX($W$21:$W$40,I$70))/2)^2))</f>
        <v>1</v>
      </c>
      <c r="J91" s="32" t="n">
        <f aca="false">IF($A91=J$70,0,IF(Input!$H$5="Nominal",1,(SUM(INDEX($W$21:$W$40,MIN($A91,J$70)):INDEX($W$21:$W$40,MAX($A91,J$70)))-(INDEX($W$21:$W$40,$A91)+INDEX($W$21:$W$40,J$70))/2)^2))</f>
        <v>1</v>
      </c>
      <c r="K91" s="32" t="n">
        <f aca="false">IF($A91=K$70,0,IF(Input!$H$5="Nominal",1,(SUM(INDEX($W$21:$W$40,MIN($A91,K$70)):INDEX($W$21:$W$40,MAX($A91,K$70)))-(INDEX($W$21:$W$40,$A91)+INDEX($W$21:$W$40,K$70))/2)^2))</f>
        <v>1</v>
      </c>
      <c r="L91" s="32" t="n">
        <f aca="false">IF($A91=L$70,0,IF(Input!$H$5="Nominal",1,(SUM(INDEX($W$21:$W$40,MIN($A91,L$70)):INDEX($W$21:$W$40,MAX($A91,L$70)))-(INDEX($W$21:$W$40,$A91)+INDEX($W$21:$W$40,L$70))/2)^2))</f>
        <v>1</v>
      </c>
      <c r="M91" s="32" t="n">
        <f aca="false">IF($A91=M$70,0,IF(Input!$H$5="Nominal",1,(SUM(INDEX($W$21:$W$40,MIN($A91,M$70)):INDEX($W$21:$W$40,MAX($A91,M$70)))-(INDEX($W$21:$W$40,$A91)+INDEX($W$21:$W$40,M$70))/2)^2))</f>
        <v>1</v>
      </c>
      <c r="N91" s="32" t="n">
        <f aca="false">IF($A91=N$70,0,IF(Input!$H$5="Nominal",1,(SUM(INDEX($W$21:$W$40,MIN($A91,N$70)):INDEX($W$21:$W$40,MAX($A91,N$70)))-(INDEX($W$21:$W$40,$A91)+INDEX($W$21:$W$40,N$70))/2)^2))</f>
        <v>1</v>
      </c>
      <c r="O91" s="32" t="n">
        <f aca="false">IF($A91=O$70,0,IF(Input!$H$5="Nominal",1,(SUM(INDEX($W$21:$W$40,MIN($A91,O$70)):INDEX($W$21:$W$40,MAX($A91,O$70)))-(INDEX($W$21:$W$40,$A91)+INDEX($W$21:$W$40,O$70))/2)^2))</f>
        <v>1</v>
      </c>
      <c r="P91" s="32" t="n">
        <f aca="false">IF($A91=P$70,0,IF(Input!$H$5="Nominal",1,(SUM(INDEX($W$21:$W$40,MIN($A91,P$70)):INDEX($W$21:$W$40,MAX($A91,P$70)))-(INDEX($W$21:$W$40,$A91)+INDEX($W$21:$W$40,P$70))/2)^2))</f>
        <v>1</v>
      </c>
      <c r="Q91" s="32" t="n">
        <f aca="false">IF($A91=Q$70,0,IF(Input!$H$5="Nominal",1,(SUM(INDEX($W$21:$W$40,MIN($A91,Q$70)):INDEX($W$21:$W$40,MAX($A91,Q$70)))-(INDEX($W$21:$W$40,$A91)+INDEX($W$21:$W$40,Q$70))/2)^2))</f>
        <v>1</v>
      </c>
      <c r="R91" s="32" t="n">
        <f aca="false">IF($A91=R$70,0,IF(Input!$H$5="Nominal",1,(SUM(INDEX($W$21:$W$40,MIN($A91,R$70)):INDEX($W$21:$W$40,MAX($A91,R$70)))-(INDEX($W$21:$W$40,$A91)+INDEX($W$21:$W$40,R$70))/2)^2))</f>
        <v>1</v>
      </c>
      <c r="S91" s="32" t="n">
        <f aca="false">IF($A91=S$70,0,IF(Input!$H$5="Nominal",1,(SUM(INDEX($W$21:$W$40,MIN($A91,S$70)):INDEX($W$21:$W$40,MAX($A91,S$70)))-(INDEX($W$21:$W$40,$A91)+INDEX($W$21:$W$40,S$70))/2)^2))</f>
        <v>1</v>
      </c>
      <c r="T91" s="32" t="n">
        <f aca="false">IF($A91=T$70,0,IF(Input!$H$5="Nominal",1,(SUM(INDEX($W$21:$W$40,MIN($A91,T$70)):INDEX($W$21:$W$40,MAX($A91,T$70)))-(INDEX($W$21:$W$40,$A91)+INDEX($W$21:$W$40,T$70))/2)^2))</f>
        <v>1</v>
      </c>
      <c r="U91" s="32" t="n">
        <f aca="false">IF($A91=U$70,0,IF(Input!$H$5="Nominal",1,(SUM(INDEX($W$21:$W$40,MIN($A91,U$70)):INDEX($W$21:$W$40,MAX($A91,U$70)))-(INDEX($W$21:$W$40,$A91)+INDEX($W$21:$W$40,U$70))/2)^2))</f>
        <v>1</v>
      </c>
      <c r="V91" s="32" t="n">
        <f aca="false">IF($A91=V$70,0,IF(Input!$H$5="Nominal",1,(SUM(INDEX($W$21:$W$40,MIN($A91,V$70)):INDEX($W$21:$W$40,MAX($A91,V$70)))-(INDEX($W$21:$W$40,$A91)+INDEX($W$21:$W$40,V$70))/2)^2))</f>
        <v>0</v>
      </c>
    </row>
    <row r="93" customFormat="false" ht="15" hidden="false" customHeight="false" outlineLevel="0" collapsed="false">
      <c r="A93" s="7" t="s">
        <v>149</v>
      </c>
    </row>
  </sheetData>
  <conditionalFormatting sqref="A21:W40">
    <cfRule type="expression" priority="2" aboveAverage="0" equalAverage="0" bottom="0" percent="0" rank="0" text="" dxfId="2">
      <formula>$B21=""</formula>
    </cfRule>
  </conditionalFormatting>
  <conditionalFormatting sqref="A47:W66">
    <cfRule type="expression" priority="3" aboveAverage="0" equalAverage="0" bottom="0" percent="0" rank="0" text="" dxfId="2">
      <formula>$B47=""</formula>
    </cfRule>
  </conditionalFormatting>
  <conditionalFormatting sqref="A72:W91">
    <cfRule type="expression" priority="4" aboveAverage="0" equalAverage="0" bottom="0" percent="0" rank="0" text="" dxfId="2">
      <formula>$B72=""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2026-10-21T21:50:14Z</dcterms:created>
  <dc:creator>openpyxl</dc:creator>
  <dc:description/>
  <dc:language>en-US</dc:language>
  <cp:lastModifiedBy/>
  <dcterms:modified xsi:type="dcterms:W3CDTF">2026-10-22T05:39:27Z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